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ventario" sheetId="3" state="visible" r:id="rId3"/>
    <sheet xmlns:r="http://schemas.openxmlformats.org/officeDocument/2006/relationships" name="Pedidos" sheetId="4" state="visible" r:id="rId4"/>
    <sheet xmlns:r="http://schemas.openxmlformats.org/officeDocument/2006/relationships" name="Detalle" sheetId="5" state="visible" r:id="rId5"/>
    <sheet xmlns:r="http://schemas.openxmlformats.org/officeDocument/2006/relationships" name="Movimien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dd/mm/yyyy\ hh:mm"/>
    <numFmt numFmtId="166" formatCode="dd/mm/yyyy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D62828"/>
        <bgColor rgb="FF99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165" fontId="9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165" fontId="9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166" fontId="9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4CCCC"/>
        </patternFill>
      </fill>
    </dxf>
    <dxf>
      <fill>
        <patternFill>
          <bgColor rgb="FFFFE599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628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8" min="1" max="1"/>
  </cols>
  <sheetData>
    <row r="1" ht="17.35" customHeight="1" s="19">
      <c r="A1" s="20" t="inlineStr">
        <is>
          <t>Wings Zone Anapoima - Control de inventario y pedidos</t>
        </is>
      </c>
    </row>
    <row r="3" ht="15" customHeight="1" s="19">
      <c r="A3" s="21" t="inlineStr">
        <is>
          <t>Cómo funciona</t>
        </is>
      </c>
    </row>
    <row r="4" ht="15" customHeight="1" s="19">
      <c r="A4" s="22" t="inlineStr">
        <is>
          <t>1. Inventario: lista de productos con su stock. Solo llenas las celdas con fondo amarillo y letra azul.</t>
        </is>
      </c>
    </row>
    <row r="5" ht="15" customHeight="1" s="19">
      <c r="A5" s="22" t="inlineStr">
        <is>
          <t>2. Pedidos: un renglón por pedido (cliente, dirección, correo, estado). El total se calcula solo.</t>
        </is>
      </c>
    </row>
    <row r="6" ht="15" customHeight="1" s="19">
      <c r="A6" s="22" t="inlineStr">
        <is>
          <t>3. Detalle: un renglón por cada producto de un pedido (ID del pedido, SKU y cantidad). El resto se calcula solo.</t>
        </is>
      </c>
    </row>
    <row r="7" ht="15" customHeight="1" s="19">
      <c r="A7" s="22" t="inlineStr">
        <is>
          <t>4. Movimientos: compras, mermas o ajustes de stock. Entradas con número positivo, mermas o pérdidas con número negativo.</t>
        </is>
      </c>
    </row>
    <row r="8" ht="15" customHeight="1" s="19">
      <c r="A8" s="22" t="inlineStr">
        <is>
          <t>5. Resumen: vista rápida de pedidos, ventas y productos agotados.</t>
        </is>
      </c>
    </row>
    <row r="9" ht="15" customHeight="1" s="19">
      <c r="A9" s="22" t="n"/>
    </row>
    <row r="10" ht="15" customHeight="1" s="19">
      <c r="A10" s="21" t="inlineStr">
        <is>
          <t>Regla del stock</t>
        </is>
      </c>
    </row>
    <row r="11" ht="15" customHeight="1" s="19">
      <c r="A11" s="22" t="inlineStr">
        <is>
          <t>El stock solo se descuenta cuando el estado del pedido pasa a 'Confirmado'.</t>
        </is>
      </c>
    </row>
    <row r="12" ht="15" customHeight="1" s="19">
      <c r="A12" s="22" t="inlineStr">
        <is>
          <t>Mientras el pedido está 'Pendiente', sus unidades quedan reservadas (columna Reservado) y bajan el Disponible, pero no el Stock actual.</t>
        </is>
      </c>
    </row>
    <row r="13" ht="15" customHeight="1" s="19">
      <c r="A13" s="22" t="inlineStr">
        <is>
          <t>Si el pedido se marca 'Cancelado', no descuenta nada.</t>
        </is>
      </c>
    </row>
    <row r="14" ht="15" customHeight="1" s="19">
      <c r="A14" s="22" t="n"/>
    </row>
    <row r="15" ht="15" customHeight="1" s="19">
      <c r="A15" s="21" t="inlineStr">
        <is>
          <t>Colores</t>
        </is>
      </c>
    </row>
    <row r="16" ht="15" customHeight="1" s="19">
      <c r="A16" s="22" t="inlineStr">
        <is>
          <t>Fondo amarillo + letra azul = celdas que tú escribes.</t>
        </is>
      </c>
    </row>
    <row r="17" ht="15" customHeight="1" s="19">
      <c r="A17" s="22" t="inlineStr">
        <is>
          <t>Letra negra = fórmulas automáticas. No las borres ni escribas encima.</t>
        </is>
      </c>
    </row>
    <row r="18" ht="15" customHeight="1" s="19">
      <c r="A18" s="22" t="n"/>
    </row>
    <row r="19" ht="15" customHeight="1" s="19">
      <c r="A19" s="21" t="inlineStr">
        <is>
          <t>Antes de usar con datos reales (todo lo siguiente es de ejemplo)</t>
        </is>
      </c>
    </row>
    <row r="20" ht="15" customHeight="1" s="19">
      <c r="A20" s="22" t="inlineStr">
        <is>
          <t>- Los stocks iniciales y stocks mínimos de la hoja Inventario son números de ejemplo. Reemplázalos por tu conteo real.</t>
        </is>
      </c>
    </row>
    <row r="21" ht="23.85" customHeight="1" s="19">
      <c r="A21" s="22" t="inlineStr">
        <is>
          <t>- El pedido P-0001 (hoja Pedidos, con sus renglones en Detalle) y el movimiento de ejemplo en Movimientos son ejemplos. Bórralos antes de empezar: borra solo las celdas de color azul de esos renglones, no las fórmulas.</t>
        </is>
      </c>
    </row>
    <row r="22" ht="15" customHeight="1" s="19">
      <c r="A22" s="22" t="n"/>
    </row>
    <row r="23" ht="15" customHeight="1" s="19">
      <c r="A23" s="21" t="inlineStr">
        <is>
          <t>Supuestos</t>
        </is>
      </c>
    </row>
    <row r="24" ht="15" customHeight="1" s="19">
      <c r="A24" s="22" t="inlineStr">
        <is>
          <t>- Los precios salen del menú de OlaClick consultado el 14/10/2026. Si cambias un precio allá, cámbialo aquí también.</t>
        </is>
      </c>
    </row>
    <row r="25" ht="15" customHeight="1" s="19">
      <c r="A25" s="22" t="inlineStr">
        <is>
          <t>- Las gaseosas se controlan por marca y tamaño (una fila por cada combinación).</t>
        </is>
      </c>
    </row>
    <row r="26" ht="15" customHeight="1" s="19">
      <c r="A26" s="22" t="inlineStr">
        <is>
          <t>- Los combos se cuentan como unidades vendibles. No descuentan ingredientes sueltos (alitas, papas, empaques).</t>
        </is>
      </c>
    </row>
    <row r="27" ht="15" customHeight="1" s="19">
      <c r="A27" s="22" t="inlineStr">
        <is>
          <t>- Las fórmulas de las hojas Pedidos y Detalle están listas hasta la fila 300. Si pasas de ahí, copia la última fila hacia abajo.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8" min="1" max="1"/>
    <col width="18" customWidth="1" style="18" min="2" max="2"/>
  </cols>
  <sheetData>
    <row r="1" ht="17.35" customHeight="1" s="19">
      <c r="A1" s="20" t="inlineStr">
        <is>
          <t>Resumen</t>
        </is>
      </c>
    </row>
    <row r="3" ht="15" customHeight="1" s="19">
      <c r="A3" s="23" t="inlineStr">
        <is>
          <t>Pedidos pendientes</t>
        </is>
      </c>
      <c r="B3" s="24">
        <f>COUNTIF(Pedidos!$L$5:$L$300,"Pendiente")</f>
        <v/>
      </c>
    </row>
    <row r="4" ht="15" customHeight="1" s="19">
      <c r="A4" s="23" t="inlineStr">
        <is>
          <t>Pedidos confirmados</t>
        </is>
      </c>
      <c r="B4" s="24">
        <f>COUNTIF(Pedidos!$L$5:$L$300,"Confirmado")</f>
        <v/>
      </c>
    </row>
    <row r="5" ht="15" customHeight="1" s="19">
      <c r="A5" s="23" t="inlineStr">
        <is>
          <t>Pedidos cancelados</t>
        </is>
      </c>
      <c r="B5" s="24">
        <f>COUNTIF(Pedidos!$L$5:$L$300,"Cancelado")</f>
        <v/>
      </c>
    </row>
    <row r="6" ht="15" customHeight="1" s="19">
      <c r="A6" s="23" t="inlineStr">
        <is>
          <t>Ventas confirmadas (COP)</t>
        </is>
      </c>
      <c r="B6" s="25">
        <f>SUMIFS(Pedidos!$K$5:$K$300,Pedidos!$L$5:$L$300,"Confirmado")</f>
        <v/>
      </c>
    </row>
    <row r="7" ht="15" customHeight="1" s="19">
      <c r="A7" s="23" t="inlineStr">
        <is>
          <t>Productos agotados</t>
        </is>
      </c>
      <c r="B7" s="24">
        <f>COUNTIF(Inventario!$L$5:$L$200,"Agotado")</f>
        <v/>
      </c>
    </row>
    <row r="8" ht="15" customHeight="1" s="19">
      <c r="A8" s="23" t="inlineStr">
        <is>
          <t>Productos con pocas unidades</t>
        </is>
      </c>
      <c r="B8" s="24">
        <f>COUNTIF(Inventario!$L$5:$L$200,"Pocas unidades")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36" customWidth="1" style="18" min="2" max="2"/>
    <col width="18" customWidth="1" style="18" min="3" max="3"/>
    <col width="14" customWidth="1" style="18" min="4" max="4"/>
    <col width="12" customWidth="1" style="18" min="5" max="5"/>
    <col width="14" customWidth="1" style="18" min="6" max="7"/>
    <col width="16" customWidth="1" style="18" min="8" max="8"/>
    <col width="12" customWidth="1" style="18" min="9" max="9"/>
    <col width="16" customWidth="1" style="18" min="10" max="10"/>
    <col width="12" customWidth="1" style="18" min="11" max="11"/>
    <col width="16" customWidth="1" style="18" min="12" max="12"/>
    <col width="12" customWidth="1" style="18" min="13" max="13"/>
  </cols>
  <sheetData>
    <row r="1" ht="17.35" customHeight="1" s="19">
      <c r="A1" s="20" t="inlineStr">
        <is>
          <t>Inventario de productos</t>
        </is>
      </c>
    </row>
    <row r="2" ht="15" customHeight="1" s="19">
      <c r="A2" s="26" t="inlineStr">
        <is>
          <t>Escribe solo en celdas amarillas. Stock actual = Stock inicial + Entradas/ajustes - Salidas confirmadas. Disponible = Stock actual - Reservado.</t>
        </is>
      </c>
    </row>
    <row r="4" ht="31.5" customHeight="1" s="19">
      <c r="A4" s="27" t="inlineStr">
        <is>
          <t>SKU</t>
        </is>
      </c>
      <c r="B4" s="27" t="inlineStr">
        <is>
          <t>Producto</t>
        </is>
      </c>
      <c r="C4" s="27" t="inlineStr">
        <is>
          <t>Categoría</t>
        </is>
      </c>
      <c r="D4" s="27" t="inlineStr">
        <is>
          <t>Precio venta (COP)</t>
        </is>
      </c>
      <c r="E4" s="27" t="inlineStr">
        <is>
          <t>Stock inicial (und)</t>
        </is>
      </c>
      <c r="F4" s="27" t="inlineStr">
        <is>
          <t>Entradas / ajustes (und)</t>
        </is>
      </c>
      <c r="G4" s="27" t="inlineStr">
        <is>
          <t>Salidas confirmadas (und)</t>
        </is>
      </c>
      <c r="H4" s="27" t="inlineStr">
        <is>
          <t>Reservado en pendientes (und)</t>
        </is>
      </c>
      <c r="I4" s="27" t="inlineStr">
        <is>
          <t>Stock actual (und)</t>
        </is>
      </c>
      <c r="J4" s="27" t="inlineStr">
        <is>
          <t>Disponible para venta (und)</t>
        </is>
      </c>
      <c r="K4" s="27" t="inlineStr">
        <is>
          <t>Stock mínimo (und)</t>
        </is>
      </c>
      <c r="L4" s="27" t="inlineStr">
        <is>
          <t>Estado</t>
        </is>
      </c>
      <c r="M4" s="27" t="inlineStr">
        <is>
          <t>Visible en página</t>
        </is>
      </c>
    </row>
    <row r="5" ht="15" customHeight="1" s="19">
      <c r="A5" s="28" t="inlineStr">
        <is>
          <t>COMBO-6</t>
        </is>
      </c>
      <c r="B5" s="28" t="inlineStr">
        <is>
          <t>Combo x6 Alitas</t>
        </is>
      </c>
      <c r="C5" s="28" t="inlineStr">
        <is>
          <t>Combos de Alitas</t>
        </is>
      </c>
      <c r="D5" s="29" t="n">
        <v>18900</v>
      </c>
      <c r="E5" s="30" t="n">
        <v>30</v>
      </c>
      <c r="F5" s="24">
        <f>SUMIFS(Movimientos!$D$5:$D$1000,Movimientos!$B$5:$B$1000,A5)</f>
        <v/>
      </c>
      <c r="G5" s="24">
        <f>SUMIFS(Detalle!$D$5:$D$300,Detalle!$B$5:$B$300,A5,Detalle!$G$5:$G$300,"Confirmado")</f>
        <v/>
      </c>
      <c r="H5" s="24">
        <f>SUMIFS(Detalle!$D$5:$D$300,Detalle!$B$5:$B$300,A5,Detalle!$G$5:$G$300,"Pendiente")</f>
        <v/>
      </c>
      <c r="I5" s="24">
        <f>E5+F5-G5</f>
        <v/>
      </c>
      <c r="J5" s="24">
        <f>I5-H5</f>
        <v/>
      </c>
      <c r="K5" s="30" t="n">
        <v>5</v>
      </c>
      <c r="L5" s="24">
        <f>IF(J5&lt;=0,"Agotado",IF(J5&lt;=K5,"Pocas unidades","Disponible"))</f>
        <v/>
      </c>
      <c r="M5" s="30" t="inlineStr">
        <is>
          <t>Sí</t>
        </is>
      </c>
    </row>
    <row r="6" ht="15" customHeight="1" s="19">
      <c r="A6" s="28" t="inlineStr">
        <is>
          <t>COMBO-12</t>
        </is>
      </c>
      <c r="B6" s="28" t="inlineStr">
        <is>
          <t>Combo x12 Alitas</t>
        </is>
      </c>
      <c r="C6" s="28" t="inlineStr">
        <is>
          <t>Combos de Alitas</t>
        </is>
      </c>
      <c r="D6" s="29" t="n">
        <v>36900</v>
      </c>
      <c r="E6" s="30" t="n">
        <v>20</v>
      </c>
      <c r="F6" s="24">
        <f>SUMIFS(Movimientos!$D$5:$D$1000,Movimientos!$B$5:$B$1000,A6)</f>
        <v/>
      </c>
      <c r="G6" s="24">
        <f>SUMIFS(Detalle!$D$5:$D$300,Detalle!$B$5:$B$300,A6,Detalle!$G$5:$G$300,"Confirmado")</f>
        <v/>
      </c>
      <c r="H6" s="24">
        <f>SUMIFS(Detalle!$D$5:$D$300,Detalle!$B$5:$B$300,A6,Detalle!$G$5:$G$300,"Pendiente")</f>
        <v/>
      </c>
      <c r="I6" s="24">
        <f>E6+F6-G6</f>
        <v/>
      </c>
      <c r="J6" s="24">
        <f>I6-H6</f>
        <v/>
      </c>
      <c r="K6" s="30" t="n">
        <v>5</v>
      </c>
      <c r="L6" s="24">
        <f>IF(J6&lt;=0,"Agotado",IF(J6&lt;=K6,"Pocas unidades","Disponible"))</f>
        <v/>
      </c>
      <c r="M6" s="30" t="inlineStr">
        <is>
          <t>Sí</t>
        </is>
      </c>
    </row>
    <row r="7" ht="15" customHeight="1" s="19">
      <c r="A7" s="28" t="inlineStr">
        <is>
          <t>COMBO-18</t>
        </is>
      </c>
      <c r="B7" s="28" t="inlineStr">
        <is>
          <t>Combo x18 Alitas</t>
        </is>
      </c>
      <c r="C7" s="28" t="inlineStr">
        <is>
          <t>Combos de Alitas</t>
        </is>
      </c>
      <c r="D7" s="29" t="n">
        <v>53900</v>
      </c>
      <c r="E7" s="30" t="n">
        <v>10</v>
      </c>
      <c r="F7" s="24">
        <f>SUMIFS(Movimientos!$D$5:$D$1000,Movimientos!$B$5:$B$1000,A7)</f>
        <v/>
      </c>
      <c r="G7" s="24">
        <f>SUMIFS(Detalle!$D$5:$D$300,Detalle!$B$5:$B$300,A7,Detalle!$G$5:$G$300,"Confirmado")</f>
        <v/>
      </c>
      <c r="H7" s="24">
        <f>SUMIFS(Detalle!$D$5:$D$300,Detalle!$B$5:$B$300,A7,Detalle!$G$5:$G$300,"Pendiente")</f>
        <v/>
      </c>
      <c r="I7" s="24">
        <f>E7+F7-G7</f>
        <v/>
      </c>
      <c r="J7" s="24">
        <f>I7-H7</f>
        <v/>
      </c>
      <c r="K7" s="30" t="n">
        <v>3</v>
      </c>
      <c r="L7" s="24">
        <f>IF(J7&lt;=0,"Agotado",IF(J7&lt;=K7,"Pocas unidades","Disponible"))</f>
        <v/>
      </c>
      <c r="M7" s="30" t="inlineStr">
        <is>
          <t>Sí</t>
        </is>
      </c>
    </row>
    <row r="8" ht="15" customHeight="1" s="19">
      <c r="A8" s="28" t="inlineStr">
        <is>
          <t>PAPAS</t>
        </is>
      </c>
      <c r="B8" s="28" t="inlineStr">
        <is>
          <t>Papas Cronch</t>
        </is>
      </c>
      <c r="C8" s="28" t="inlineStr">
        <is>
          <t>Adicionales</t>
        </is>
      </c>
      <c r="D8" s="29" t="n">
        <v>3500</v>
      </c>
      <c r="E8" s="30" t="n">
        <v>40</v>
      </c>
      <c r="F8" s="24">
        <f>SUMIFS(Movimientos!$D$5:$D$1000,Movimientos!$B$5:$B$1000,A8)</f>
        <v/>
      </c>
      <c r="G8" s="24">
        <f>SUMIFS(Detalle!$D$5:$D$300,Detalle!$B$5:$B$300,A8,Detalle!$G$5:$G$300,"Confirmado")</f>
        <v/>
      </c>
      <c r="H8" s="24">
        <f>SUMIFS(Detalle!$D$5:$D$300,Detalle!$B$5:$B$300,A8,Detalle!$G$5:$G$300,"Pendiente")</f>
        <v/>
      </c>
      <c r="I8" s="24">
        <f>E8+F8-G8</f>
        <v/>
      </c>
      <c r="J8" s="24">
        <f>I8-H8</f>
        <v/>
      </c>
      <c r="K8" s="30" t="n">
        <v>10</v>
      </c>
      <c r="L8" s="24">
        <f>IF(J8&lt;=0,"Agotado",IF(J8&lt;=K8,"Pocas unidades","Disponible"))</f>
        <v/>
      </c>
      <c r="M8" s="30" t="inlineStr">
        <is>
          <t>Sí</t>
        </is>
      </c>
    </row>
    <row r="9" ht="15" customHeight="1" s="19">
      <c r="A9" s="28" t="inlineStr">
        <is>
          <t>PLATANO</t>
        </is>
      </c>
      <c r="B9" s="28" t="inlineStr">
        <is>
          <t>Plátano Chips</t>
        </is>
      </c>
      <c r="C9" s="28" t="inlineStr">
        <is>
          <t>Adicionales</t>
        </is>
      </c>
      <c r="D9" s="29" t="n">
        <v>3500</v>
      </c>
      <c r="E9" s="30" t="n">
        <v>40</v>
      </c>
      <c r="F9" s="24">
        <f>SUMIFS(Movimientos!$D$5:$D$1000,Movimientos!$B$5:$B$1000,A9)</f>
        <v/>
      </c>
      <c r="G9" s="24">
        <f>SUMIFS(Detalle!$D$5:$D$300,Detalle!$B$5:$B$300,A9,Detalle!$G$5:$G$300,"Confirmado")</f>
        <v/>
      </c>
      <c r="H9" s="24">
        <f>SUMIFS(Detalle!$D$5:$D$300,Detalle!$B$5:$B$300,A9,Detalle!$G$5:$G$300,"Pendiente")</f>
        <v/>
      </c>
      <c r="I9" s="24">
        <f>E9+F9-G9</f>
        <v/>
      </c>
      <c r="J9" s="24">
        <f>I9-H9</f>
        <v/>
      </c>
      <c r="K9" s="30" t="n">
        <v>10</v>
      </c>
      <c r="L9" s="24">
        <f>IF(J9&lt;=0,"Agotado",IF(J9&lt;=K9,"Pocas unidades","Disponible"))</f>
        <v/>
      </c>
      <c r="M9" s="30" t="inlineStr">
        <is>
          <t>Sí</t>
        </is>
      </c>
    </row>
    <row r="10" ht="15" customHeight="1" s="19">
      <c r="A10" s="28" t="inlineStr">
        <is>
          <t>SALSA-BBQ</t>
        </is>
      </c>
      <c r="B10" s="28" t="inlineStr">
        <is>
          <t>BBQ Clásica</t>
        </is>
      </c>
      <c r="C10" s="28" t="inlineStr">
        <is>
          <t>Adicionales</t>
        </is>
      </c>
      <c r="D10" s="29" t="n">
        <v>2000</v>
      </c>
      <c r="E10" s="30" t="n">
        <v>60</v>
      </c>
      <c r="F10" s="24">
        <f>SUMIFS(Movimientos!$D$5:$D$1000,Movimientos!$B$5:$B$1000,A10)</f>
        <v/>
      </c>
      <c r="G10" s="24">
        <f>SUMIFS(Detalle!$D$5:$D$300,Detalle!$B$5:$B$300,A10,Detalle!$G$5:$G$300,"Confirmado")</f>
        <v/>
      </c>
      <c r="H10" s="24">
        <f>SUMIFS(Detalle!$D$5:$D$300,Detalle!$B$5:$B$300,A10,Detalle!$G$5:$G$300,"Pendiente")</f>
        <v/>
      </c>
      <c r="I10" s="24">
        <f>E10+F10-G10</f>
        <v/>
      </c>
      <c r="J10" s="24">
        <f>I10-H10</f>
        <v/>
      </c>
      <c r="K10" s="30" t="n">
        <v>10</v>
      </c>
      <c r="L10" s="24">
        <f>IF(J10&lt;=0,"Agotado",IF(J10&lt;=K10,"Pocas unidades","Disponible"))</f>
        <v/>
      </c>
      <c r="M10" s="30" t="inlineStr">
        <is>
          <t>Sí</t>
        </is>
      </c>
    </row>
    <row r="11" ht="15" customHeight="1" s="19">
      <c r="A11" s="28" t="inlineStr">
        <is>
          <t>SALSA-MIEL</t>
        </is>
      </c>
      <c r="B11" s="28" t="inlineStr">
        <is>
          <t>Miel Mostaza Kids</t>
        </is>
      </c>
      <c r="C11" s="28" t="inlineStr">
        <is>
          <t>Adicionales</t>
        </is>
      </c>
      <c r="D11" s="29" t="n">
        <v>2000</v>
      </c>
      <c r="E11" s="30" t="n">
        <v>60</v>
      </c>
      <c r="F11" s="24">
        <f>SUMIFS(Movimientos!$D$5:$D$1000,Movimientos!$B$5:$B$1000,A11)</f>
        <v/>
      </c>
      <c r="G11" s="24">
        <f>SUMIFS(Detalle!$D$5:$D$300,Detalle!$B$5:$B$300,A11,Detalle!$G$5:$G$300,"Confirmado")</f>
        <v/>
      </c>
      <c r="H11" s="24">
        <f>SUMIFS(Detalle!$D$5:$D$300,Detalle!$B$5:$B$300,A11,Detalle!$G$5:$G$300,"Pendiente")</f>
        <v/>
      </c>
      <c r="I11" s="24">
        <f>E11+F11-G11</f>
        <v/>
      </c>
      <c r="J11" s="24">
        <f>I11-H11</f>
        <v/>
      </c>
      <c r="K11" s="30" t="n">
        <v>10</v>
      </c>
      <c r="L11" s="24">
        <f>IF(J11&lt;=0,"Agotado",IF(J11&lt;=K11,"Pocas unidades","Disponible"))</f>
        <v/>
      </c>
      <c r="M11" s="30" t="inlineStr">
        <is>
          <t>Sí</t>
        </is>
      </c>
    </row>
    <row r="12" ht="15" customHeight="1" s="19">
      <c r="A12" s="28" t="inlineStr">
        <is>
          <t>SALSA-CHIP</t>
        </is>
      </c>
      <c r="B12" s="28" t="inlineStr">
        <is>
          <t>Chipotle Dulce</t>
        </is>
      </c>
      <c r="C12" s="28" t="inlineStr">
        <is>
          <t>Adicionales</t>
        </is>
      </c>
      <c r="D12" s="29" t="n">
        <v>2000</v>
      </c>
      <c r="E12" s="30" t="n">
        <v>60</v>
      </c>
      <c r="F12" s="24">
        <f>SUMIFS(Movimientos!$D$5:$D$1000,Movimientos!$B$5:$B$1000,A12)</f>
        <v/>
      </c>
      <c r="G12" s="24">
        <f>SUMIFS(Detalle!$D$5:$D$300,Detalle!$B$5:$B$300,A12,Detalle!$G$5:$G$300,"Confirmado")</f>
        <v/>
      </c>
      <c r="H12" s="24">
        <f>SUMIFS(Detalle!$D$5:$D$300,Detalle!$B$5:$B$300,A12,Detalle!$G$5:$G$300,"Pendiente")</f>
        <v/>
      </c>
      <c r="I12" s="24">
        <f>E12+F12-G12</f>
        <v/>
      </c>
      <c r="J12" s="24">
        <f>I12-H12</f>
        <v/>
      </c>
      <c r="K12" s="30" t="n">
        <v>10</v>
      </c>
      <c r="L12" s="24">
        <f>IF(J12&lt;=0,"Agotado",IF(J12&lt;=K12,"Pocas unidades","Disponible"))</f>
        <v/>
      </c>
      <c r="M12" s="30" t="inlineStr">
        <is>
          <t>Sí</t>
        </is>
      </c>
    </row>
    <row r="13" ht="15" customHeight="1" s="19">
      <c r="A13" s="28" t="inlineStr">
        <is>
          <t>SALSA-AJI</t>
        </is>
      </c>
      <c r="B13" s="28" t="inlineStr">
        <is>
          <t>Ají Brava Wing Zone</t>
        </is>
      </c>
      <c r="C13" s="28" t="inlineStr">
        <is>
          <t>Adicionales</t>
        </is>
      </c>
      <c r="D13" s="29" t="n">
        <v>2000</v>
      </c>
      <c r="E13" s="30" t="n">
        <v>60</v>
      </c>
      <c r="F13" s="24">
        <f>SUMIFS(Movimientos!$D$5:$D$1000,Movimientos!$B$5:$B$1000,A13)</f>
        <v/>
      </c>
      <c r="G13" s="24">
        <f>SUMIFS(Detalle!$D$5:$D$300,Detalle!$B$5:$B$300,A13,Detalle!$G$5:$G$300,"Confirmado")</f>
        <v/>
      </c>
      <c r="H13" s="24">
        <f>SUMIFS(Detalle!$D$5:$D$300,Detalle!$B$5:$B$300,A13,Detalle!$G$5:$G$300,"Pendiente")</f>
        <v/>
      </c>
      <c r="I13" s="24">
        <f>E13+F13-G13</f>
        <v/>
      </c>
      <c r="J13" s="24">
        <f>I13-H13</f>
        <v/>
      </c>
      <c r="K13" s="30" t="n">
        <v>10</v>
      </c>
      <c r="L13" s="24">
        <f>IF(J13&lt;=0,"Agotado",IF(J13&lt;=K13,"Pocas unidades","Disponible"))</f>
        <v/>
      </c>
      <c r="M13" s="30" t="inlineStr">
        <is>
          <t>Sí</t>
        </is>
      </c>
    </row>
    <row r="14" ht="15" customHeight="1" s="19">
      <c r="A14" s="28" t="inlineStr">
        <is>
          <t>GAS-400-COCA</t>
        </is>
      </c>
      <c r="B14" s="28" t="inlineStr">
        <is>
          <t>Gaseosa 400 ml - Coca-Cola</t>
        </is>
      </c>
      <c r="C14" s="28" t="inlineStr">
        <is>
          <t>Bebidas</t>
        </is>
      </c>
      <c r="D14" s="29" t="n">
        <v>3800</v>
      </c>
      <c r="E14" s="30" t="n">
        <v>12</v>
      </c>
      <c r="F14" s="24">
        <f>SUMIFS(Movimientos!$D$5:$D$1000,Movimientos!$B$5:$B$1000,A14)</f>
        <v/>
      </c>
      <c r="G14" s="24">
        <f>SUMIFS(Detalle!$D$5:$D$300,Detalle!$B$5:$B$300,A14,Detalle!$G$5:$G$300,"Confirmado")</f>
        <v/>
      </c>
      <c r="H14" s="24">
        <f>SUMIFS(Detalle!$D$5:$D$300,Detalle!$B$5:$B$300,A14,Detalle!$G$5:$G$300,"Pendiente")</f>
        <v/>
      </c>
      <c r="I14" s="24">
        <f>E14+F14-G14</f>
        <v/>
      </c>
      <c r="J14" s="24">
        <f>I14-H14</f>
        <v/>
      </c>
      <c r="K14" s="30" t="n">
        <v>4</v>
      </c>
      <c r="L14" s="24">
        <f>IF(J14&lt;=0,"Agotado",IF(J14&lt;=K14,"Pocas unidades","Disponible"))</f>
        <v/>
      </c>
      <c r="M14" s="30" t="inlineStr">
        <is>
          <t>Sí</t>
        </is>
      </c>
    </row>
    <row r="15" ht="15" customHeight="1" s="19">
      <c r="A15" s="28" t="inlineStr">
        <is>
          <t>GAS-400-MANZ</t>
        </is>
      </c>
      <c r="B15" s="28" t="inlineStr">
        <is>
          <t>Gaseosa 400 ml - Manzana Postobón</t>
        </is>
      </c>
      <c r="C15" s="28" t="inlineStr">
        <is>
          <t>Bebidas</t>
        </is>
      </c>
      <c r="D15" s="29" t="n">
        <v>3800</v>
      </c>
      <c r="E15" s="30" t="n">
        <v>12</v>
      </c>
      <c r="F15" s="24">
        <f>SUMIFS(Movimientos!$D$5:$D$1000,Movimientos!$B$5:$B$1000,A15)</f>
        <v/>
      </c>
      <c r="G15" s="24">
        <f>SUMIFS(Detalle!$D$5:$D$300,Detalle!$B$5:$B$300,A15,Detalle!$G$5:$G$300,"Confirmado")</f>
        <v/>
      </c>
      <c r="H15" s="24">
        <f>SUMIFS(Detalle!$D$5:$D$300,Detalle!$B$5:$B$300,A15,Detalle!$G$5:$G$300,"Pendiente")</f>
        <v/>
      </c>
      <c r="I15" s="24">
        <f>E15+F15-G15</f>
        <v/>
      </c>
      <c r="J15" s="24">
        <f>I15-H15</f>
        <v/>
      </c>
      <c r="K15" s="30" t="n">
        <v>4</v>
      </c>
      <c r="L15" s="24">
        <f>IF(J15&lt;=0,"Agotado",IF(J15&lt;=K15,"Pocas unidades","Disponible"))</f>
        <v/>
      </c>
      <c r="M15" s="30" t="inlineStr">
        <is>
          <t>Sí</t>
        </is>
      </c>
    </row>
    <row r="16" ht="15" customHeight="1" s="19">
      <c r="A16" s="28" t="inlineStr">
        <is>
          <t>GAS-400-COLO</t>
        </is>
      </c>
      <c r="B16" s="28" t="inlineStr">
        <is>
          <t>Gaseosa 400 ml - Colombiana</t>
        </is>
      </c>
      <c r="C16" s="28" t="inlineStr">
        <is>
          <t>Bebidas</t>
        </is>
      </c>
      <c r="D16" s="29" t="n">
        <v>3800</v>
      </c>
      <c r="E16" s="30" t="n">
        <v>12</v>
      </c>
      <c r="F16" s="24">
        <f>SUMIFS(Movimientos!$D$5:$D$1000,Movimientos!$B$5:$B$1000,A16)</f>
        <v/>
      </c>
      <c r="G16" s="24">
        <f>SUMIFS(Detalle!$D$5:$D$300,Detalle!$B$5:$B$300,A16,Detalle!$G$5:$G$300,"Confirmado")</f>
        <v/>
      </c>
      <c r="H16" s="24">
        <f>SUMIFS(Detalle!$D$5:$D$300,Detalle!$B$5:$B$300,A16,Detalle!$G$5:$G$300,"Pendiente")</f>
        <v/>
      </c>
      <c r="I16" s="24">
        <f>E16+F16-G16</f>
        <v/>
      </c>
      <c r="J16" s="24">
        <f>I16-H16</f>
        <v/>
      </c>
      <c r="K16" s="30" t="n">
        <v>4</v>
      </c>
      <c r="L16" s="24">
        <f>IF(J16&lt;=0,"Agotado",IF(J16&lt;=K16,"Pocas unidades","Disponible"))</f>
        <v/>
      </c>
      <c r="M16" s="30" t="inlineStr">
        <is>
          <t>Sí</t>
        </is>
      </c>
    </row>
    <row r="17" ht="15" customHeight="1" s="19">
      <c r="A17" s="28" t="inlineStr">
        <is>
          <t>GAS-400-PEPS</t>
        </is>
      </c>
      <c r="B17" s="28" t="inlineStr">
        <is>
          <t>Gaseosa 400 ml - Pepsi</t>
        </is>
      </c>
      <c r="C17" s="28" t="inlineStr">
        <is>
          <t>Bebidas</t>
        </is>
      </c>
      <c r="D17" s="29" t="n">
        <v>3800</v>
      </c>
      <c r="E17" s="30" t="n">
        <v>12</v>
      </c>
      <c r="F17" s="24">
        <f>SUMIFS(Movimientos!$D$5:$D$1000,Movimientos!$B$5:$B$1000,A17)</f>
        <v/>
      </c>
      <c r="G17" s="24">
        <f>SUMIFS(Detalle!$D$5:$D$300,Detalle!$B$5:$B$300,A17,Detalle!$G$5:$G$300,"Confirmado")</f>
        <v/>
      </c>
      <c r="H17" s="24">
        <f>SUMIFS(Detalle!$D$5:$D$300,Detalle!$B$5:$B$300,A17,Detalle!$G$5:$G$300,"Pendiente")</f>
        <v/>
      </c>
      <c r="I17" s="24">
        <f>E17+F17-G17</f>
        <v/>
      </c>
      <c r="J17" s="24">
        <f>I17-H17</f>
        <v/>
      </c>
      <c r="K17" s="30" t="n">
        <v>4</v>
      </c>
      <c r="L17" s="24">
        <f>IF(J17&lt;=0,"Agotado",IF(J17&lt;=K17,"Pocas unidades","Disponible"))</f>
        <v/>
      </c>
      <c r="M17" s="30" t="inlineStr">
        <is>
          <t>Sí</t>
        </is>
      </c>
    </row>
    <row r="18" ht="15" customHeight="1" s="19">
      <c r="A18" s="28" t="inlineStr">
        <is>
          <t>GAS-1500-COCA</t>
        </is>
      </c>
      <c r="B18" s="28" t="inlineStr">
        <is>
          <t>Gaseosa 1.5 L - Coca-Cola</t>
        </is>
      </c>
      <c r="C18" s="28" t="inlineStr">
        <is>
          <t>Bebidas</t>
        </is>
      </c>
      <c r="D18" s="29" t="n">
        <v>7900</v>
      </c>
      <c r="E18" s="30" t="n">
        <v>8</v>
      </c>
      <c r="F18" s="24">
        <f>SUMIFS(Movimientos!$D$5:$D$1000,Movimientos!$B$5:$B$1000,A18)</f>
        <v/>
      </c>
      <c r="G18" s="24">
        <f>SUMIFS(Detalle!$D$5:$D$300,Detalle!$B$5:$B$300,A18,Detalle!$G$5:$G$300,"Confirmado")</f>
        <v/>
      </c>
      <c r="H18" s="24">
        <f>SUMIFS(Detalle!$D$5:$D$300,Detalle!$B$5:$B$300,A18,Detalle!$G$5:$G$300,"Pendiente")</f>
        <v/>
      </c>
      <c r="I18" s="24">
        <f>E18+F18-G18</f>
        <v/>
      </c>
      <c r="J18" s="24">
        <f>I18-H18</f>
        <v/>
      </c>
      <c r="K18" s="30" t="n">
        <v>3</v>
      </c>
      <c r="L18" s="24">
        <f>IF(J18&lt;=0,"Agotado",IF(J18&lt;=K18,"Pocas unidades","Disponible"))</f>
        <v/>
      </c>
      <c r="M18" s="30" t="inlineStr">
        <is>
          <t>Sí</t>
        </is>
      </c>
    </row>
    <row r="19" ht="15" customHeight="1" s="19">
      <c r="A19" s="28" t="inlineStr">
        <is>
          <t>GAS-1500-MANZ</t>
        </is>
      </c>
      <c r="B19" s="28" t="inlineStr">
        <is>
          <t>Gaseosa 1.5 L - Manzana Postobón</t>
        </is>
      </c>
      <c r="C19" s="28" t="inlineStr">
        <is>
          <t>Bebidas</t>
        </is>
      </c>
      <c r="D19" s="29" t="n">
        <v>7900</v>
      </c>
      <c r="E19" s="30" t="n">
        <v>8</v>
      </c>
      <c r="F19" s="24">
        <f>SUMIFS(Movimientos!$D$5:$D$1000,Movimientos!$B$5:$B$1000,A19)</f>
        <v/>
      </c>
      <c r="G19" s="24">
        <f>SUMIFS(Detalle!$D$5:$D$300,Detalle!$B$5:$B$300,A19,Detalle!$G$5:$G$300,"Confirmado")</f>
        <v/>
      </c>
      <c r="H19" s="24">
        <f>SUMIFS(Detalle!$D$5:$D$300,Detalle!$B$5:$B$300,A19,Detalle!$G$5:$G$300,"Pendiente")</f>
        <v/>
      </c>
      <c r="I19" s="24">
        <f>E19+F19-G19</f>
        <v/>
      </c>
      <c r="J19" s="24">
        <f>I19-H19</f>
        <v/>
      </c>
      <c r="K19" s="30" t="n">
        <v>3</v>
      </c>
      <c r="L19" s="24">
        <f>IF(J19&lt;=0,"Agotado",IF(J19&lt;=K19,"Pocas unidades","Disponible"))</f>
        <v/>
      </c>
      <c r="M19" s="30" t="inlineStr">
        <is>
          <t>Sí</t>
        </is>
      </c>
    </row>
    <row r="20" ht="15" customHeight="1" s="19">
      <c r="A20" s="28" t="inlineStr">
        <is>
          <t>GAS-1500-COLO</t>
        </is>
      </c>
      <c r="B20" s="28" t="inlineStr">
        <is>
          <t>Gaseosa 1.5 L - Colombiana</t>
        </is>
      </c>
      <c r="C20" s="28" t="inlineStr">
        <is>
          <t>Bebidas</t>
        </is>
      </c>
      <c r="D20" s="29" t="n">
        <v>7900</v>
      </c>
      <c r="E20" s="30" t="n">
        <v>8</v>
      </c>
      <c r="F20" s="24">
        <f>SUMIFS(Movimientos!$D$5:$D$1000,Movimientos!$B$5:$B$1000,A20)</f>
        <v/>
      </c>
      <c r="G20" s="24">
        <f>SUMIFS(Detalle!$D$5:$D$300,Detalle!$B$5:$B$300,A20,Detalle!$G$5:$G$300,"Confirmado")</f>
        <v/>
      </c>
      <c r="H20" s="24">
        <f>SUMIFS(Detalle!$D$5:$D$300,Detalle!$B$5:$B$300,A20,Detalle!$G$5:$G$300,"Pendiente")</f>
        <v/>
      </c>
      <c r="I20" s="24">
        <f>E20+F20-G20</f>
        <v/>
      </c>
      <c r="J20" s="24">
        <f>I20-H20</f>
        <v/>
      </c>
      <c r="K20" s="30" t="n">
        <v>3</v>
      </c>
      <c r="L20" s="24">
        <f>IF(J20&lt;=0,"Agotado",IF(J20&lt;=K20,"Pocas unidades","Disponible"))</f>
        <v/>
      </c>
      <c r="M20" s="30" t="inlineStr">
        <is>
          <t>Sí</t>
        </is>
      </c>
    </row>
    <row r="21" ht="15" customHeight="1" s="19">
      <c r="A21" s="28" t="inlineStr">
        <is>
          <t>GAS-1500-PEPS</t>
        </is>
      </c>
      <c r="B21" s="28" t="inlineStr">
        <is>
          <t>Gaseosa 1.5 L - Pepsi</t>
        </is>
      </c>
      <c r="C21" s="28" t="inlineStr">
        <is>
          <t>Bebidas</t>
        </is>
      </c>
      <c r="D21" s="29" t="n">
        <v>7900</v>
      </c>
      <c r="E21" s="30" t="n">
        <v>8</v>
      </c>
      <c r="F21" s="24">
        <f>SUMIFS(Movimientos!$D$5:$D$1000,Movimientos!$B$5:$B$1000,A21)</f>
        <v/>
      </c>
      <c r="G21" s="24">
        <f>SUMIFS(Detalle!$D$5:$D$300,Detalle!$B$5:$B$300,A21,Detalle!$G$5:$G$300,"Confirmado")</f>
        <v/>
      </c>
      <c r="H21" s="24">
        <f>SUMIFS(Detalle!$D$5:$D$300,Detalle!$B$5:$B$300,A21,Detalle!$G$5:$G$300,"Pendiente")</f>
        <v/>
      </c>
      <c r="I21" s="24">
        <f>E21+F21-G21</f>
        <v/>
      </c>
      <c r="J21" s="24">
        <f>I21-H21</f>
        <v/>
      </c>
      <c r="K21" s="30" t="n">
        <v>3</v>
      </c>
      <c r="L21" s="24">
        <f>IF(J21&lt;=0,"Agotado",IF(J21&lt;=K21,"Pocas unidades","Disponible"))</f>
        <v/>
      </c>
      <c r="M21" s="30" t="inlineStr">
        <is>
          <t>Sí</t>
        </is>
      </c>
    </row>
    <row r="22" ht="15" customHeight="1" s="19">
      <c r="A22" s="28" t="inlineStr">
        <is>
          <t>COCA-3000</t>
        </is>
      </c>
      <c r="B22" s="28" t="inlineStr">
        <is>
          <t>Coca-Cola 3 L</t>
        </is>
      </c>
      <c r="C22" s="28" t="inlineStr">
        <is>
          <t>Bebidas</t>
        </is>
      </c>
      <c r="D22" s="29" t="n">
        <v>13900</v>
      </c>
      <c r="E22" s="30" t="n">
        <v>10</v>
      </c>
      <c r="F22" s="24">
        <f>SUMIFS(Movimientos!$D$5:$D$1000,Movimientos!$B$5:$B$1000,A22)</f>
        <v/>
      </c>
      <c r="G22" s="24">
        <f>SUMIFS(Detalle!$D$5:$D$300,Detalle!$B$5:$B$300,A22,Detalle!$G$5:$G$300,"Confirmado")</f>
        <v/>
      </c>
      <c r="H22" s="24">
        <f>SUMIFS(Detalle!$D$5:$D$300,Detalle!$B$5:$B$300,A22,Detalle!$G$5:$G$300,"Pendiente")</f>
        <v/>
      </c>
      <c r="I22" s="24">
        <f>E22+F22-G22</f>
        <v/>
      </c>
      <c r="J22" s="24">
        <f>I22-H22</f>
        <v/>
      </c>
      <c r="K22" s="30" t="n">
        <v>3</v>
      </c>
      <c r="L22" s="24">
        <f>IF(J22&lt;=0,"Agotado",IF(J22&lt;=K22,"Pocas unidades","Disponible"))</f>
        <v/>
      </c>
      <c r="M22" s="30" t="inlineStr">
        <is>
          <t>Sí</t>
        </is>
      </c>
    </row>
    <row r="23" ht="15" customHeight="1" s="19">
      <c r="A23" s="28" t="inlineStr">
        <is>
          <t>CERV-AGUILA</t>
        </is>
      </c>
      <c r="B23" s="28" t="inlineStr">
        <is>
          <t>Cerveza lata - Águila</t>
        </is>
      </c>
      <c r="C23" s="28" t="inlineStr">
        <is>
          <t>Bebidas</t>
        </is>
      </c>
      <c r="D23" s="29" t="n">
        <v>3500</v>
      </c>
      <c r="E23" s="30" t="n">
        <v>24</v>
      </c>
      <c r="F23" s="24">
        <f>SUMIFS(Movimientos!$D$5:$D$1000,Movimientos!$B$5:$B$1000,A23)</f>
        <v/>
      </c>
      <c r="G23" s="24">
        <f>SUMIFS(Detalle!$D$5:$D$300,Detalle!$B$5:$B$300,A23,Detalle!$G$5:$G$300,"Confirmado")</f>
        <v/>
      </c>
      <c r="H23" s="24">
        <f>SUMIFS(Detalle!$D$5:$D$300,Detalle!$B$5:$B$300,A23,Detalle!$G$5:$G$300,"Pendiente")</f>
        <v/>
      </c>
      <c r="I23" s="24">
        <f>E23+F23-G23</f>
        <v/>
      </c>
      <c r="J23" s="24">
        <f>I23-H23</f>
        <v/>
      </c>
      <c r="K23" s="30" t="n">
        <v>6</v>
      </c>
      <c r="L23" s="24">
        <f>IF(J23&lt;=0,"Agotado",IF(J23&lt;=K23,"Pocas unidades","Disponible"))</f>
        <v/>
      </c>
      <c r="M23" s="30" t="inlineStr">
        <is>
          <t>Sí</t>
        </is>
      </c>
    </row>
    <row r="24" ht="15" customHeight="1" s="19">
      <c r="A24" s="28" t="inlineStr">
        <is>
          <t>CERV-POKER</t>
        </is>
      </c>
      <c r="B24" s="28" t="inlineStr">
        <is>
          <t>Cerveza lata - Póker</t>
        </is>
      </c>
      <c r="C24" s="28" t="inlineStr">
        <is>
          <t>Bebidas</t>
        </is>
      </c>
      <c r="D24" s="29" t="n">
        <v>3500</v>
      </c>
      <c r="E24" s="30" t="n">
        <v>24</v>
      </c>
      <c r="F24" s="24">
        <f>SUMIFS(Movimientos!$D$5:$D$1000,Movimientos!$B$5:$B$1000,A24)</f>
        <v/>
      </c>
      <c r="G24" s="24">
        <f>SUMIFS(Detalle!$D$5:$D$300,Detalle!$B$5:$B$300,A24,Detalle!$G$5:$G$300,"Confirmado")</f>
        <v/>
      </c>
      <c r="H24" s="24">
        <f>SUMIFS(Detalle!$D$5:$D$300,Detalle!$B$5:$B$300,A24,Detalle!$G$5:$G$300,"Pendiente")</f>
        <v/>
      </c>
      <c r="I24" s="24">
        <f>E24+F24-G24</f>
        <v/>
      </c>
      <c r="J24" s="24">
        <f>I24-H24</f>
        <v/>
      </c>
      <c r="K24" s="30" t="n">
        <v>6</v>
      </c>
      <c r="L24" s="24">
        <f>IF(J24&lt;=0,"Agotado",IF(J24&lt;=K24,"Pocas unidades","Disponible"))</f>
        <v/>
      </c>
      <c r="M24" s="30" t="inlineStr">
        <is>
          <t>Sí</t>
        </is>
      </c>
    </row>
    <row r="25" ht="15" customHeight="1" s="19">
      <c r="A25" s="28" t="inlineStr">
        <is>
          <t>CERV-CORONA</t>
        </is>
      </c>
      <c r="B25" s="28" t="inlineStr">
        <is>
          <t>Cerveza lata - Corona</t>
        </is>
      </c>
      <c r="C25" s="28" t="inlineStr">
        <is>
          <t>Bebidas</t>
        </is>
      </c>
      <c r="D25" s="29" t="n">
        <v>6000</v>
      </c>
      <c r="E25" s="30" t="n">
        <v>12</v>
      </c>
      <c r="F25" s="24">
        <f>SUMIFS(Movimientos!$D$5:$D$1000,Movimientos!$B$5:$B$1000,A25)</f>
        <v/>
      </c>
      <c r="G25" s="24">
        <f>SUMIFS(Detalle!$D$5:$D$300,Detalle!$B$5:$B$300,A25,Detalle!$G$5:$G$300,"Confirmado")</f>
        <v/>
      </c>
      <c r="H25" s="24">
        <f>SUMIFS(Detalle!$D$5:$D$300,Detalle!$B$5:$B$300,A25,Detalle!$G$5:$G$300,"Pendiente")</f>
        <v/>
      </c>
      <c r="I25" s="24">
        <f>E25+F25-G25</f>
        <v/>
      </c>
      <c r="J25" s="24">
        <f>I25-H25</f>
        <v/>
      </c>
      <c r="K25" s="30" t="n">
        <v>4</v>
      </c>
      <c r="L25" s="24">
        <f>IF(J25&lt;=0,"Agotado",IF(J25&lt;=K25,"Pocas unidades","Disponible"))</f>
        <v/>
      </c>
      <c r="M25" s="30" t="inlineStr">
        <is>
          <t>Sí</t>
        </is>
      </c>
    </row>
  </sheetData>
  <conditionalFormatting sqref="L5:L25">
    <cfRule type="expression" rank="0" priority="2" equalAverage="0" aboveAverage="0" dxfId="0" text="" percent="0" bottom="0">
      <formula>$L5="Agotado"</formula>
    </cfRule>
    <cfRule type="expression" rank="0" priority="3" equalAverage="0" aboveAverage="0" dxfId="1" text="" percent="0" bottom="0">
      <formula>$L5="Pocas unidades"</formula>
    </cfRule>
    <cfRule type="expression" rank="0" priority="4" equalAverage="0" aboveAverage="0" dxfId="2" text="" percent="0" bottom="0">
      <formula>$L5="Disponible"</formula>
    </cfRule>
  </conditionalFormatting>
  <dataValidations count="1">
    <dataValidation sqref="M5:M25" showDropDown="0" showInputMessage="0" showErrorMessage="0" allowBlank="0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8" min="1" max="1"/>
    <col width="17" customWidth="1" style="18" min="2" max="2"/>
    <col width="22" customWidth="1" style="18" min="3" max="3"/>
    <col width="14" customWidth="1" style="18" min="4" max="4"/>
    <col width="32" customWidth="1" style="18" min="5" max="5"/>
    <col width="26" customWidth="1" style="18" min="6" max="6"/>
    <col width="44" customWidth="1" style="18" min="7" max="7"/>
    <col width="12" customWidth="1" style="18" min="8" max="8"/>
    <col width="14" customWidth="1" style="18" min="9" max="11"/>
    <col width="13" customWidth="1" style="18" min="12" max="12"/>
    <col width="24" customWidth="1" style="18" min="13" max="13"/>
  </cols>
  <sheetData>
    <row r="1" ht="17.35" customHeight="1" s="19">
      <c r="A1" s="20" t="inlineStr">
        <is>
          <t>Pedidos</t>
        </is>
      </c>
    </row>
    <row r="2" ht="15" customHeight="1" s="19">
      <c r="A2" s="26" t="inlineStr">
        <is>
          <t>Un renglón por pedido. Los productos del pedido se registran en la hoja Detalle con el mismo ID.</t>
        </is>
      </c>
    </row>
    <row r="4" ht="31.5" customHeight="1" s="19">
      <c r="A4" s="27" t="inlineStr">
        <is>
          <t>ID pedido</t>
        </is>
      </c>
      <c r="B4" s="27" t="inlineStr">
        <is>
          <t>Fecha y hora</t>
        </is>
      </c>
      <c r="C4" s="27" t="inlineStr">
        <is>
          <t>Cliente</t>
        </is>
      </c>
      <c r="D4" s="27" t="inlineStr">
        <is>
          <t>Teléfono</t>
        </is>
      </c>
      <c r="E4" s="27" t="inlineStr">
        <is>
          <t>Dirección física</t>
        </is>
      </c>
      <c r="F4" s="27" t="inlineStr">
        <is>
          <t>Correo electrónico</t>
        </is>
      </c>
      <c r="G4" s="27" t="inlineStr">
        <is>
          <t>Descripción del pedido</t>
        </is>
      </c>
      <c r="H4" s="27" t="inlineStr">
        <is>
          <t>Cantidad total (und)</t>
        </is>
      </c>
      <c r="I4" s="27" t="inlineStr">
        <is>
          <t>Subtotal (COP)</t>
        </is>
      </c>
      <c r="J4" s="27" t="inlineStr">
        <is>
          <t>Domicilio (COP)</t>
        </is>
      </c>
      <c r="K4" s="27" t="inlineStr">
        <is>
          <t>Total (COP)</t>
        </is>
      </c>
      <c r="L4" s="27" t="inlineStr">
        <is>
          <t>Estado</t>
        </is>
      </c>
      <c r="M4" s="27" t="inlineStr">
        <is>
          <t>Notas</t>
        </is>
      </c>
    </row>
    <row r="5" ht="15" customHeight="1" s="19">
      <c r="A5" s="28" t="inlineStr">
        <is>
          <t>P-0001</t>
        </is>
      </c>
      <c r="B5" s="31" t="n">
        <v>46309.77083333334</v>
      </c>
      <c r="C5" s="28" t="inlineStr">
        <is>
          <t>Cliente Ejemplo</t>
        </is>
      </c>
      <c r="D5" s="28" t="inlineStr">
        <is>
          <t>3001234567</t>
        </is>
      </c>
      <c r="E5" s="28" t="inlineStr">
        <is>
          <t>Calle 1 # 2-3, Anapoima</t>
        </is>
      </c>
      <c r="F5" s="28" t="inlineStr">
        <is>
          <t>cliente@correo.com</t>
        </is>
      </c>
      <c r="G5" s="28" t="inlineStr">
        <is>
          <t>2 Combo x6 Alitas + 1 Gaseosa 1.5 L Coca-Cola (EJEMPLO)</t>
        </is>
      </c>
      <c r="H5" s="32">
        <f>IF(A5="","",SUMIFS(Detalle!$D$5:$D$300,Detalle!$A$5:$A$300,A5))</f>
        <v/>
      </c>
      <c r="I5" s="33">
        <f>IF(A5="","",SUMIFS(Detalle!$F$5:$F$300,Detalle!$A$5:$A$300,A5))</f>
        <v/>
      </c>
      <c r="J5" s="34" t="n">
        <v>5000</v>
      </c>
      <c r="K5" s="33">
        <f>IF(A5="","",I5+N(J5))</f>
        <v/>
      </c>
      <c r="L5" s="28" t="inlineStr">
        <is>
          <t>Pendiente</t>
        </is>
      </c>
      <c r="M5" s="28" t="inlineStr">
        <is>
          <t>Borrar este ejemplo</t>
        </is>
      </c>
    </row>
    <row r="6" ht="15" customHeight="1" s="19">
      <c r="A6" s="28" t="n"/>
      <c r="B6" s="31" t="n"/>
      <c r="C6" s="28" t="n"/>
      <c r="D6" s="28" t="n"/>
      <c r="E6" s="28" t="n"/>
      <c r="F6" s="28" t="n"/>
      <c r="G6" s="28" t="n"/>
      <c r="H6" s="32">
        <f>IF(A6="","",SUMIFS(Detalle!$D$5:$D$300,Detalle!$A$5:$A$300,A6))</f>
        <v/>
      </c>
      <c r="I6" s="33">
        <f>IF(A6="","",SUMIFS(Detalle!$F$5:$F$300,Detalle!$A$5:$A$300,A6))</f>
        <v/>
      </c>
      <c r="J6" s="34" t="n"/>
      <c r="K6" s="33">
        <f>IF(A6="","",I6+N(J6))</f>
        <v/>
      </c>
      <c r="L6" s="28" t="n"/>
      <c r="M6" s="28" t="n"/>
    </row>
    <row r="7" ht="15" customHeight="1" s="19">
      <c r="A7" s="28" t="n"/>
      <c r="B7" s="31" t="n"/>
      <c r="C7" s="28" t="n"/>
      <c r="D7" s="28" t="n"/>
      <c r="E7" s="28" t="n"/>
      <c r="F7" s="28" t="n"/>
      <c r="G7" s="28" t="n"/>
      <c r="H7" s="32">
        <f>IF(A7="","",SUMIFS(Detalle!$D$5:$D$300,Detalle!$A$5:$A$300,A7))</f>
        <v/>
      </c>
      <c r="I7" s="33">
        <f>IF(A7="","",SUMIFS(Detalle!$F$5:$F$300,Detalle!$A$5:$A$300,A7))</f>
        <v/>
      </c>
      <c r="J7" s="34" t="n"/>
      <c r="K7" s="33">
        <f>IF(A7="","",I7+N(J7))</f>
        <v/>
      </c>
      <c r="L7" s="28" t="n"/>
      <c r="M7" s="28" t="n"/>
    </row>
    <row r="8" ht="15" customHeight="1" s="19">
      <c r="A8" s="28" t="n"/>
      <c r="B8" s="31" t="n"/>
      <c r="C8" s="28" t="n"/>
      <c r="D8" s="28" t="n"/>
      <c r="E8" s="28" t="n"/>
      <c r="F8" s="28" t="n"/>
      <c r="G8" s="28" t="n"/>
      <c r="H8" s="32">
        <f>IF(A8="","",SUMIFS(Detalle!$D$5:$D$300,Detalle!$A$5:$A$300,A8))</f>
        <v/>
      </c>
      <c r="I8" s="33">
        <f>IF(A8="","",SUMIFS(Detalle!$F$5:$F$300,Detalle!$A$5:$A$300,A8))</f>
        <v/>
      </c>
      <c r="J8" s="34" t="n"/>
      <c r="K8" s="33">
        <f>IF(A8="","",I8+N(J8))</f>
        <v/>
      </c>
      <c r="L8" s="28" t="n"/>
      <c r="M8" s="28" t="n"/>
    </row>
    <row r="9" ht="15" customHeight="1" s="19">
      <c r="A9" s="28" t="n"/>
      <c r="B9" s="31" t="n"/>
      <c r="C9" s="28" t="n"/>
      <c r="D9" s="28" t="n"/>
      <c r="E9" s="28" t="n"/>
      <c r="F9" s="28" t="n"/>
      <c r="G9" s="28" t="n"/>
      <c r="H9" s="32">
        <f>IF(A9="","",SUMIFS(Detalle!$D$5:$D$300,Detalle!$A$5:$A$300,A9))</f>
        <v/>
      </c>
      <c r="I9" s="33">
        <f>IF(A9="","",SUMIFS(Detalle!$F$5:$F$300,Detalle!$A$5:$A$300,A9))</f>
        <v/>
      </c>
      <c r="J9" s="34" t="n"/>
      <c r="K9" s="33">
        <f>IF(A9="","",I9+N(J9))</f>
        <v/>
      </c>
      <c r="L9" s="28" t="n"/>
      <c r="M9" s="28" t="n"/>
    </row>
    <row r="10" ht="15" customHeight="1" s="19">
      <c r="A10" s="28" t="n"/>
      <c r="B10" s="31" t="n"/>
      <c r="C10" s="28" t="n"/>
      <c r="D10" s="28" t="n"/>
      <c r="E10" s="28" t="n"/>
      <c r="F10" s="28" t="n"/>
      <c r="G10" s="28" t="n"/>
      <c r="H10" s="32">
        <f>IF(A10="","",SUMIFS(Detalle!$D$5:$D$300,Detalle!$A$5:$A$300,A10))</f>
        <v/>
      </c>
      <c r="I10" s="33">
        <f>IF(A10="","",SUMIFS(Detalle!$F$5:$F$300,Detalle!$A$5:$A$300,A10))</f>
        <v/>
      </c>
      <c r="J10" s="34" t="n"/>
      <c r="K10" s="33">
        <f>IF(A10="","",I10+N(J10))</f>
        <v/>
      </c>
      <c r="L10" s="28" t="n"/>
      <c r="M10" s="28" t="n"/>
    </row>
    <row r="11" ht="15" customHeight="1" s="19">
      <c r="A11" s="28" t="n"/>
      <c r="B11" s="31" t="n"/>
      <c r="C11" s="28" t="n"/>
      <c r="D11" s="28" t="n"/>
      <c r="E11" s="28" t="n"/>
      <c r="F11" s="28" t="n"/>
      <c r="G11" s="28" t="n"/>
      <c r="H11" s="32">
        <f>IF(A11="","",SUMIFS(Detalle!$D$5:$D$300,Detalle!$A$5:$A$300,A11))</f>
        <v/>
      </c>
      <c r="I11" s="33">
        <f>IF(A11="","",SUMIFS(Detalle!$F$5:$F$300,Detalle!$A$5:$A$300,A11))</f>
        <v/>
      </c>
      <c r="J11" s="34" t="n"/>
      <c r="K11" s="33">
        <f>IF(A11="","",I11+N(J11))</f>
        <v/>
      </c>
      <c r="L11" s="28" t="n"/>
      <c r="M11" s="28" t="n"/>
    </row>
    <row r="12" ht="15" customHeight="1" s="19">
      <c r="A12" s="28" t="n"/>
      <c r="B12" s="31" t="n"/>
      <c r="C12" s="28" t="n"/>
      <c r="D12" s="28" t="n"/>
      <c r="E12" s="28" t="n"/>
      <c r="F12" s="28" t="n"/>
      <c r="G12" s="28" t="n"/>
      <c r="H12" s="32">
        <f>IF(A12="","",SUMIFS(Detalle!$D$5:$D$300,Detalle!$A$5:$A$300,A12))</f>
        <v/>
      </c>
      <c r="I12" s="33">
        <f>IF(A12="","",SUMIFS(Detalle!$F$5:$F$300,Detalle!$A$5:$A$300,A12))</f>
        <v/>
      </c>
      <c r="J12" s="34" t="n"/>
      <c r="K12" s="33">
        <f>IF(A12="","",I12+N(J12))</f>
        <v/>
      </c>
      <c r="L12" s="28" t="n"/>
      <c r="M12" s="28" t="n"/>
    </row>
    <row r="13" ht="15" customHeight="1" s="19">
      <c r="A13" s="28" t="n"/>
      <c r="B13" s="31" t="n"/>
      <c r="C13" s="28" t="n"/>
      <c r="D13" s="28" t="n"/>
      <c r="E13" s="28" t="n"/>
      <c r="F13" s="28" t="n"/>
      <c r="G13" s="28" t="n"/>
      <c r="H13" s="32">
        <f>IF(A13="","",SUMIFS(Detalle!$D$5:$D$300,Detalle!$A$5:$A$300,A13))</f>
        <v/>
      </c>
      <c r="I13" s="33">
        <f>IF(A13="","",SUMIFS(Detalle!$F$5:$F$300,Detalle!$A$5:$A$300,A13))</f>
        <v/>
      </c>
      <c r="J13" s="34" t="n"/>
      <c r="K13" s="33">
        <f>IF(A13="","",I13+N(J13))</f>
        <v/>
      </c>
      <c r="L13" s="28" t="n"/>
      <c r="M13" s="28" t="n"/>
    </row>
    <row r="14" ht="15" customHeight="1" s="19">
      <c r="A14" s="28" t="n"/>
      <c r="B14" s="31" t="n"/>
      <c r="C14" s="28" t="n"/>
      <c r="D14" s="28" t="n"/>
      <c r="E14" s="28" t="n"/>
      <c r="F14" s="28" t="n"/>
      <c r="G14" s="28" t="n"/>
      <c r="H14" s="32">
        <f>IF(A14="","",SUMIFS(Detalle!$D$5:$D$300,Detalle!$A$5:$A$300,A14))</f>
        <v/>
      </c>
      <c r="I14" s="33">
        <f>IF(A14="","",SUMIFS(Detalle!$F$5:$F$300,Detalle!$A$5:$A$300,A14))</f>
        <v/>
      </c>
      <c r="J14" s="34" t="n"/>
      <c r="K14" s="33">
        <f>IF(A14="","",I14+N(J14))</f>
        <v/>
      </c>
      <c r="L14" s="28" t="n"/>
      <c r="M14" s="28" t="n"/>
    </row>
    <row r="15" ht="15" customHeight="1" s="19">
      <c r="A15" s="28" t="n"/>
      <c r="B15" s="31" t="n"/>
      <c r="C15" s="28" t="n"/>
      <c r="D15" s="28" t="n"/>
      <c r="E15" s="28" t="n"/>
      <c r="F15" s="28" t="n"/>
      <c r="G15" s="28" t="n"/>
      <c r="H15" s="32">
        <f>IF(A15="","",SUMIFS(Detalle!$D$5:$D$300,Detalle!$A$5:$A$300,A15))</f>
        <v/>
      </c>
      <c r="I15" s="33">
        <f>IF(A15="","",SUMIFS(Detalle!$F$5:$F$300,Detalle!$A$5:$A$300,A15))</f>
        <v/>
      </c>
      <c r="J15" s="34" t="n"/>
      <c r="K15" s="33">
        <f>IF(A15="","",I15+N(J15))</f>
        <v/>
      </c>
      <c r="L15" s="28" t="n"/>
      <c r="M15" s="28" t="n"/>
    </row>
    <row r="16" ht="15" customHeight="1" s="19">
      <c r="A16" s="28" t="n"/>
      <c r="B16" s="31" t="n"/>
      <c r="C16" s="28" t="n"/>
      <c r="D16" s="28" t="n"/>
      <c r="E16" s="28" t="n"/>
      <c r="F16" s="28" t="n"/>
      <c r="G16" s="28" t="n"/>
      <c r="H16" s="32">
        <f>IF(A16="","",SUMIFS(Detalle!$D$5:$D$300,Detalle!$A$5:$A$300,A16))</f>
        <v/>
      </c>
      <c r="I16" s="33">
        <f>IF(A16="","",SUMIFS(Detalle!$F$5:$F$300,Detalle!$A$5:$A$300,A16))</f>
        <v/>
      </c>
      <c r="J16" s="34" t="n"/>
      <c r="K16" s="33">
        <f>IF(A16="","",I16+N(J16))</f>
        <v/>
      </c>
      <c r="L16" s="28" t="n"/>
      <c r="M16" s="28" t="n"/>
    </row>
    <row r="17" ht="15" customHeight="1" s="19">
      <c r="A17" s="28" t="n"/>
      <c r="B17" s="31" t="n"/>
      <c r="C17" s="28" t="n"/>
      <c r="D17" s="28" t="n"/>
      <c r="E17" s="28" t="n"/>
      <c r="F17" s="28" t="n"/>
      <c r="G17" s="28" t="n"/>
      <c r="H17" s="32">
        <f>IF(A17="","",SUMIFS(Detalle!$D$5:$D$300,Detalle!$A$5:$A$300,A17))</f>
        <v/>
      </c>
      <c r="I17" s="33">
        <f>IF(A17="","",SUMIFS(Detalle!$F$5:$F$300,Detalle!$A$5:$A$300,A17))</f>
        <v/>
      </c>
      <c r="J17" s="34" t="n"/>
      <c r="K17" s="33">
        <f>IF(A17="","",I17+N(J17))</f>
        <v/>
      </c>
      <c r="L17" s="28" t="n"/>
      <c r="M17" s="28" t="n"/>
    </row>
    <row r="18" ht="15" customHeight="1" s="19">
      <c r="A18" s="28" t="n"/>
      <c r="B18" s="31" t="n"/>
      <c r="C18" s="28" t="n"/>
      <c r="D18" s="28" t="n"/>
      <c r="E18" s="28" t="n"/>
      <c r="F18" s="28" t="n"/>
      <c r="G18" s="28" t="n"/>
      <c r="H18" s="32">
        <f>IF(A18="","",SUMIFS(Detalle!$D$5:$D$300,Detalle!$A$5:$A$300,A18))</f>
        <v/>
      </c>
      <c r="I18" s="33">
        <f>IF(A18="","",SUMIFS(Detalle!$F$5:$F$300,Detalle!$A$5:$A$300,A18))</f>
        <v/>
      </c>
      <c r="J18" s="34" t="n"/>
      <c r="K18" s="33">
        <f>IF(A18="","",I18+N(J18))</f>
        <v/>
      </c>
      <c r="L18" s="28" t="n"/>
      <c r="M18" s="28" t="n"/>
    </row>
    <row r="19" ht="15" customHeight="1" s="19">
      <c r="A19" s="28" t="n"/>
      <c r="B19" s="31" t="n"/>
      <c r="C19" s="28" t="n"/>
      <c r="D19" s="28" t="n"/>
      <c r="E19" s="28" t="n"/>
      <c r="F19" s="28" t="n"/>
      <c r="G19" s="28" t="n"/>
      <c r="H19" s="32">
        <f>IF(A19="","",SUMIFS(Detalle!$D$5:$D$300,Detalle!$A$5:$A$300,A19))</f>
        <v/>
      </c>
      <c r="I19" s="33">
        <f>IF(A19="","",SUMIFS(Detalle!$F$5:$F$300,Detalle!$A$5:$A$300,A19))</f>
        <v/>
      </c>
      <c r="J19" s="34" t="n"/>
      <c r="K19" s="33">
        <f>IF(A19="","",I19+N(J19))</f>
        <v/>
      </c>
      <c r="L19" s="28" t="n"/>
      <c r="M19" s="28" t="n"/>
    </row>
    <row r="20" ht="15" customHeight="1" s="19">
      <c r="A20" s="28" t="n"/>
      <c r="B20" s="31" t="n"/>
      <c r="C20" s="28" t="n"/>
      <c r="D20" s="28" t="n"/>
      <c r="E20" s="28" t="n"/>
      <c r="F20" s="28" t="n"/>
      <c r="G20" s="28" t="n"/>
      <c r="H20" s="32">
        <f>IF(A20="","",SUMIFS(Detalle!$D$5:$D$300,Detalle!$A$5:$A$300,A20))</f>
        <v/>
      </c>
      <c r="I20" s="33">
        <f>IF(A20="","",SUMIFS(Detalle!$F$5:$F$300,Detalle!$A$5:$A$300,A20))</f>
        <v/>
      </c>
      <c r="J20" s="34" t="n"/>
      <c r="K20" s="33">
        <f>IF(A20="","",I20+N(J20))</f>
        <v/>
      </c>
      <c r="L20" s="28" t="n"/>
      <c r="M20" s="28" t="n"/>
    </row>
    <row r="21" ht="15" customHeight="1" s="19">
      <c r="A21" s="28" t="n"/>
      <c r="B21" s="31" t="n"/>
      <c r="C21" s="28" t="n"/>
      <c r="D21" s="28" t="n"/>
      <c r="E21" s="28" t="n"/>
      <c r="F21" s="28" t="n"/>
      <c r="G21" s="28" t="n"/>
      <c r="H21" s="32">
        <f>IF(A21="","",SUMIFS(Detalle!$D$5:$D$300,Detalle!$A$5:$A$300,A21))</f>
        <v/>
      </c>
      <c r="I21" s="33">
        <f>IF(A21="","",SUMIFS(Detalle!$F$5:$F$300,Detalle!$A$5:$A$300,A21))</f>
        <v/>
      </c>
      <c r="J21" s="34" t="n"/>
      <c r="K21" s="33">
        <f>IF(A21="","",I21+N(J21))</f>
        <v/>
      </c>
      <c r="L21" s="28" t="n"/>
      <c r="M21" s="28" t="n"/>
    </row>
    <row r="22" ht="15" customHeight="1" s="19">
      <c r="A22" s="28" t="n"/>
      <c r="B22" s="31" t="n"/>
      <c r="C22" s="28" t="n"/>
      <c r="D22" s="28" t="n"/>
      <c r="E22" s="28" t="n"/>
      <c r="F22" s="28" t="n"/>
      <c r="G22" s="28" t="n"/>
      <c r="H22" s="32">
        <f>IF(A22="","",SUMIFS(Detalle!$D$5:$D$300,Detalle!$A$5:$A$300,A22))</f>
        <v/>
      </c>
      <c r="I22" s="33">
        <f>IF(A22="","",SUMIFS(Detalle!$F$5:$F$300,Detalle!$A$5:$A$300,A22))</f>
        <v/>
      </c>
      <c r="J22" s="34" t="n"/>
      <c r="K22" s="33">
        <f>IF(A22="","",I22+N(J22))</f>
        <v/>
      </c>
      <c r="L22" s="28" t="n"/>
      <c r="M22" s="28" t="n"/>
    </row>
    <row r="23" ht="15" customHeight="1" s="19">
      <c r="A23" s="28" t="n"/>
      <c r="B23" s="31" t="n"/>
      <c r="C23" s="28" t="n"/>
      <c r="D23" s="28" t="n"/>
      <c r="E23" s="28" t="n"/>
      <c r="F23" s="28" t="n"/>
      <c r="G23" s="28" t="n"/>
      <c r="H23" s="32">
        <f>IF(A23="","",SUMIFS(Detalle!$D$5:$D$300,Detalle!$A$5:$A$300,A23))</f>
        <v/>
      </c>
      <c r="I23" s="33">
        <f>IF(A23="","",SUMIFS(Detalle!$F$5:$F$300,Detalle!$A$5:$A$300,A23))</f>
        <v/>
      </c>
      <c r="J23" s="34" t="n"/>
      <c r="K23" s="33">
        <f>IF(A23="","",I23+N(J23))</f>
        <v/>
      </c>
      <c r="L23" s="28" t="n"/>
      <c r="M23" s="28" t="n"/>
    </row>
    <row r="24" ht="15" customHeight="1" s="19">
      <c r="A24" s="28" t="n"/>
      <c r="B24" s="31" t="n"/>
      <c r="C24" s="28" t="n"/>
      <c r="D24" s="28" t="n"/>
      <c r="E24" s="28" t="n"/>
      <c r="F24" s="28" t="n"/>
      <c r="G24" s="28" t="n"/>
      <c r="H24" s="32">
        <f>IF(A24="","",SUMIFS(Detalle!$D$5:$D$300,Detalle!$A$5:$A$300,A24))</f>
        <v/>
      </c>
      <c r="I24" s="33">
        <f>IF(A24="","",SUMIFS(Detalle!$F$5:$F$300,Detalle!$A$5:$A$300,A24))</f>
        <v/>
      </c>
      <c r="J24" s="34" t="n"/>
      <c r="K24" s="33">
        <f>IF(A24="","",I24+N(J24))</f>
        <v/>
      </c>
      <c r="L24" s="28" t="n"/>
      <c r="M24" s="28" t="n"/>
    </row>
    <row r="25" ht="15" customHeight="1" s="19">
      <c r="A25" s="28" t="n"/>
      <c r="B25" s="31" t="n"/>
      <c r="C25" s="28" t="n"/>
      <c r="D25" s="28" t="n"/>
      <c r="E25" s="28" t="n"/>
      <c r="F25" s="28" t="n"/>
      <c r="G25" s="28" t="n"/>
      <c r="H25" s="32">
        <f>IF(A25="","",SUMIFS(Detalle!$D$5:$D$300,Detalle!$A$5:$A$300,A25))</f>
        <v/>
      </c>
      <c r="I25" s="33">
        <f>IF(A25="","",SUMIFS(Detalle!$F$5:$F$300,Detalle!$A$5:$A$300,A25))</f>
        <v/>
      </c>
      <c r="J25" s="34" t="n"/>
      <c r="K25" s="33">
        <f>IF(A25="","",I25+N(J25))</f>
        <v/>
      </c>
      <c r="L25" s="28" t="n"/>
      <c r="M25" s="28" t="n"/>
    </row>
    <row r="26" ht="15" customHeight="1" s="19">
      <c r="A26" s="28" t="n"/>
      <c r="B26" s="31" t="n"/>
      <c r="C26" s="28" t="n"/>
      <c r="D26" s="28" t="n"/>
      <c r="E26" s="28" t="n"/>
      <c r="F26" s="28" t="n"/>
      <c r="G26" s="28" t="n"/>
      <c r="H26" s="32">
        <f>IF(A26="","",SUMIFS(Detalle!$D$5:$D$300,Detalle!$A$5:$A$300,A26))</f>
        <v/>
      </c>
      <c r="I26" s="33">
        <f>IF(A26="","",SUMIFS(Detalle!$F$5:$F$300,Detalle!$A$5:$A$300,A26))</f>
        <v/>
      </c>
      <c r="J26" s="34" t="n"/>
      <c r="K26" s="33">
        <f>IF(A26="","",I26+N(J26))</f>
        <v/>
      </c>
      <c r="L26" s="28" t="n"/>
      <c r="M26" s="28" t="n"/>
    </row>
    <row r="27" ht="15" customHeight="1" s="19">
      <c r="A27" s="28" t="n"/>
      <c r="B27" s="31" t="n"/>
      <c r="C27" s="28" t="n"/>
      <c r="D27" s="28" t="n"/>
      <c r="E27" s="28" t="n"/>
      <c r="F27" s="28" t="n"/>
      <c r="G27" s="28" t="n"/>
      <c r="H27" s="32">
        <f>IF(A27="","",SUMIFS(Detalle!$D$5:$D$300,Detalle!$A$5:$A$300,A27))</f>
        <v/>
      </c>
      <c r="I27" s="33">
        <f>IF(A27="","",SUMIFS(Detalle!$F$5:$F$300,Detalle!$A$5:$A$300,A27))</f>
        <v/>
      </c>
      <c r="J27" s="34" t="n"/>
      <c r="K27" s="33">
        <f>IF(A27="","",I27+N(J27))</f>
        <v/>
      </c>
      <c r="L27" s="28" t="n"/>
      <c r="M27" s="28" t="n"/>
    </row>
    <row r="28" ht="15" customHeight="1" s="19">
      <c r="A28" s="28" t="n"/>
      <c r="B28" s="31" t="n"/>
      <c r="C28" s="28" t="n"/>
      <c r="D28" s="28" t="n"/>
      <c r="E28" s="28" t="n"/>
      <c r="F28" s="28" t="n"/>
      <c r="G28" s="28" t="n"/>
      <c r="H28" s="32">
        <f>IF(A28="","",SUMIFS(Detalle!$D$5:$D$300,Detalle!$A$5:$A$300,A28))</f>
        <v/>
      </c>
      <c r="I28" s="33">
        <f>IF(A28="","",SUMIFS(Detalle!$F$5:$F$300,Detalle!$A$5:$A$300,A28))</f>
        <v/>
      </c>
      <c r="J28" s="34" t="n"/>
      <c r="K28" s="33">
        <f>IF(A28="","",I28+N(J28))</f>
        <v/>
      </c>
      <c r="L28" s="28" t="n"/>
      <c r="M28" s="28" t="n"/>
    </row>
    <row r="29" ht="15" customHeight="1" s="19">
      <c r="A29" s="28" t="n"/>
      <c r="B29" s="31" t="n"/>
      <c r="C29" s="28" t="n"/>
      <c r="D29" s="28" t="n"/>
      <c r="E29" s="28" t="n"/>
      <c r="F29" s="28" t="n"/>
      <c r="G29" s="28" t="n"/>
      <c r="H29" s="32">
        <f>IF(A29="","",SUMIFS(Detalle!$D$5:$D$300,Detalle!$A$5:$A$300,A29))</f>
        <v/>
      </c>
      <c r="I29" s="33">
        <f>IF(A29="","",SUMIFS(Detalle!$F$5:$F$300,Detalle!$A$5:$A$300,A29))</f>
        <v/>
      </c>
      <c r="J29" s="34" t="n"/>
      <c r="K29" s="33">
        <f>IF(A29="","",I29+N(J29))</f>
        <v/>
      </c>
      <c r="L29" s="28" t="n"/>
      <c r="M29" s="28" t="n"/>
    </row>
    <row r="30" ht="15" customHeight="1" s="19">
      <c r="A30" s="28" t="n"/>
      <c r="B30" s="31" t="n"/>
      <c r="C30" s="28" t="n"/>
      <c r="D30" s="28" t="n"/>
      <c r="E30" s="28" t="n"/>
      <c r="F30" s="28" t="n"/>
      <c r="G30" s="28" t="n"/>
      <c r="H30" s="32">
        <f>IF(A30="","",SUMIFS(Detalle!$D$5:$D$300,Detalle!$A$5:$A$300,A30))</f>
        <v/>
      </c>
      <c r="I30" s="33">
        <f>IF(A30="","",SUMIFS(Detalle!$F$5:$F$300,Detalle!$A$5:$A$300,A30))</f>
        <v/>
      </c>
      <c r="J30" s="34" t="n"/>
      <c r="K30" s="33">
        <f>IF(A30="","",I30+N(J30))</f>
        <v/>
      </c>
      <c r="L30" s="28" t="n"/>
      <c r="M30" s="28" t="n"/>
    </row>
    <row r="31" ht="15" customHeight="1" s="19">
      <c r="A31" s="28" t="n"/>
      <c r="B31" s="31" t="n"/>
      <c r="C31" s="28" t="n"/>
      <c r="D31" s="28" t="n"/>
      <c r="E31" s="28" t="n"/>
      <c r="F31" s="28" t="n"/>
      <c r="G31" s="28" t="n"/>
      <c r="H31" s="32">
        <f>IF(A31="","",SUMIFS(Detalle!$D$5:$D$300,Detalle!$A$5:$A$300,A31))</f>
        <v/>
      </c>
      <c r="I31" s="33">
        <f>IF(A31="","",SUMIFS(Detalle!$F$5:$F$300,Detalle!$A$5:$A$300,A31))</f>
        <v/>
      </c>
      <c r="J31" s="34" t="n"/>
      <c r="K31" s="33">
        <f>IF(A31="","",I31+N(J31))</f>
        <v/>
      </c>
      <c r="L31" s="28" t="n"/>
      <c r="M31" s="28" t="n"/>
    </row>
    <row r="32" ht="15" customHeight="1" s="19">
      <c r="A32" s="28" t="n"/>
      <c r="B32" s="31" t="n"/>
      <c r="C32" s="28" t="n"/>
      <c r="D32" s="28" t="n"/>
      <c r="E32" s="28" t="n"/>
      <c r="F32" s="28" t="n"/>
      <c r="G32" s="28" t="n"/>
      <c r="H32" s="32">
        <f>IF(A32="","",SUMIFS(Detalle!$D$5:$D$300,Detalle!$A$5:$A$300,A32))</f>
        <v/>
      </c>
      <c r="I32" s="33">
        <f>IF(A32="","",SUMIFS(Detalle!$F$5:$F$300,Detalle!$A$5:$A$300,A32))</f>
        <v/>
      </c>
      <c r="J32" s="34" t="n"/>
      <c r="K32" s="33">
        <f>IF(A32="","",I32+N(J32))</f>
        <v/>
      </c>
      <c r="L32" s="28" t="n"/>
      <c r="M32" s="28" t="n"/>
    </row>
    <row r="33" ht="15" customHeight="1" s="19">
      <c r="A33" s="28" t="n"/>
      <c r="B33" s="31" t="n"/>
      <c r="C33" s="28" t="n"/>
      <c r="D33" s="28" t="n"/>
      <c r="E33" s="28" t="n"/>
      <c r="F33" s="28" t="n"/>
      <c r="G33" s="28" t="n"/>
      <c r="H33" s="32">
        <f>IF(A33="","",SUMIFS(Detalle!$D$5:$D$300,Detalle!$A$5:$A$300,A33))</f>
        <v/>
      </c>
      <c r="I33" s="33">
        <f>IF(A33="","",SUMIFS(Detalle!$F$5:$F$300,Detalle!$A$5:$A$300,A33))</f>
        <v/>
      </c>
      <c r="J33" s="34" t="n"/>
      <c r="K33" s="33">
        <f>IF(A33="","",I33+N(J33))</f>
        <v/>
      </c>
      <c r="L33" s="28" t="n"/>
      <c r="M33" s="28" t="n"/>
    </row>
    <row r="34" ht="15" customHeight="1" s="19">
      <c r="A34" s="28" t="n"/>
      <c r="B34" s="31" t="n"/>
      <c r="C34" s="28" t="n"/>
      <c r="D34" s="28" t="n"/>
      <c r="E34" s="28" t="n"/>
      <c r="F34" s="28" t="n"/>
      <c r="G34" s="28" t="n"/>
      <c r="H34" s="32">
        <f>IF(A34="","",SUMIFS(Detalle!$D$5:$D$300,Detalle!$A$5:$A$300,A34))</f>
        <v/>
      </c>
      <c r="I34" s="33">
        <f>IF(A34="","",SUMIFS(Detalle!$F$5:$F$300,Detalle!$A$5:$A$300,A34))</f>
        <v/>
      </c>
      <c r="J34" s="34" t="n"/>
      <c r="K34" s="33">
        <f>IF(A34="","",I34+N(J34))</f>
        <v/>
      </c>
      <c r="L34" s="28" t="n"/>
      <c r="M34" s="28" t="n"/>
    </row>
    <row r="35" ht="15" customHeight="1" s="19">
      <c r="A35" s="28" t="n"/>
      <c r="B35" s="31" t="n"/>
      <c r="C35" s="28" t="n"/>
      <c r="D35" s="28" t="n"/>
      <c r="E35" s="28" t="n"/>
      <c r="F35" s="28" t="n"/>
      <c r="G35" s="28" t="n"/>
      <c r="H35" s="32">
        <f>IF(A35="","",SUMIFS(Detalle!$D$5:$D$300,Detalle!$A$5:$A$300,A35))</f>
        <v/>
      </c>
      <c r="I35" s="33">
        <f>IF(A35="","",SUMIFS(Detalle!$F$5:$F$300,Detalle!$A$5:$A$300,A35))</f>
        <v/>
      </c>
      <c r="J35" s="34" t="n"/>
      <c r="K35" s="33">
        <f>IF(A35="","",I35+N(J35))</f>
        <v/>
      </c>
      <c r="L35" s="28" t="n"/>
      <c r="M35" s="28" t="n"/>
    </row>
    <row r="36" ht="15" customHeight="1" s="19">
      <c r="A36" s="28" t="n"/>
      <c r="B36" s="31" t="n"/>
      <c r="C36" s="28" t="n"/>
      <c r="D36" s="28" t="n"/>
      <c r="E36" s="28" t="n"/>
      <c r="F36" s="28" t="n"/>
      <c r="G36" s="28" t="n"/>
      <c r="H36" s="32">
        <f>IF(A36="","",SUMIFS(Detalle!$D$5:$D$300,Detalle!$A$5:$A$300,A36))</f>
        <v/>
      </c>
      <c r="I36" s="33">
        <f>IF(A36="","",SUMIFS(Detalle!$F$5:$F$300,Detalle!$A$5:$A$300,A36))</f>
        <v/>
      </c>
      <c r="J36" s="34" t="n"/>
      <c r="K36" s="33">
        <f>IF(A36="","",I36+N(J36))</f>
        <v/>
      </c>
      <c r="L36" s="28" t="n"/>
      <c r="M36" s="28" t="n"/>
    </row>
    <row r="37" ht="15" customHeight="1" s="19">
      <c r="A37" s="28" t="n"/>
      <c r="B37" s="31" t="n"/>
      <c r="C37" s="28" t="n"/>
      <c r="D37" s="28" t="n"/>
      <c r="E37" s="28" t="n"/>
      <c r="F37" s="28" t="n"/>
      <c r="G37" s="28" t="n"/>
      <c r="H37" s="32">
        <f>IF(A37="","",SUMIFS(Detalle!$D$5:$D$300,Detalle!$A$5:$A$300,A37))</f>
        <v/>
      </c>
      <c r="I37" s="33">
        <f>IF(A37="","",SUMIFS(Detalle!$F$5:$F$300,Detalle!$A$5:$A$300,A37))</f>
        <v/>
      </c>
      <c r="J37" s="34" t="n"/>
      <c r="K37" s="33">
        <f>IF(A37="","",I37+N(J37))</f>
        <v/>
      </c>
      <c r="L37" s="28" t="n"/>
      <c r="M37" s="28" t="n"/>
    </row>
    <row r="38" ht="15" customHeight="1" s="19">
      <c r="A38" s="28" t="n"/>
      <c r="B38" s="31" t="n"/>
      <c r="C38" s="28" t="n"/>
      <c r="D38" s="28" t="n"/>
      <c r="E38" s="28" t="n"/>
      <c r="F38" s="28" t="n"/>
      <c r="G38" s="28" t="n"/>
      <c r="H38" s="32">
        <f>IF(A38="","",SUMIFS(Detalle!$D$5:$D$300,Detalle!$A$5:$A$300,A38))</f>
        <v/>
      </c>
      <c r="I38" s="33">
        <f>IF(A38="","",SUMIFS(Detalle!$F$5:$F$300,Detalle!$A$5:$A$300,A38))</f>
        <v/>
      </c>
      <c r="J38" s="34" t="n"/>
      <c r="K38" s="33">
        <f>IF(A38="","",I38+N(J38))</f>
        <v/>
      </c>
      <c r="L38" s="28" t="n"/>
      <c r="M38" s="28" t="n"/>
    </row>
    <row r="39" ht="15" customHeight="1" s="19">
      <c r="A39" s="28" t="n"/>
      <c r="B39" s="31" t="n"/>
      <c r="C39" s="28" t="n"/>
      <c r="D39" s="28" t="n"/>
      <c r="E39" s="28" t="n"/>
      <c r="F39" s="28" t="n"/>
      <c r="G39" s="28" t="n"/>
      <c r="H39" s="32">
        <f>IF(A39="","",SUMIFS(Detalle!$D$5:$D$300,Detalle!$A$5:$A$300,A39))</f>
        <v/>
      </c>
      <c r="I39" s="33">
        <f>IF(A39="","",SUMIFS(Detalle!$F$5:$F$300,Detalle!$A$5:$A$300,A39))</f>
        <v/>
      </c>
      <c r="J39" s="34" t="n"/>
      <c r="K39" s="33">
        <f>IF(A39="","",I39+N(J39))</f>
        <v/>
      </c>
      <c r="L39" s="28" t="n"/>
      <c r="M39" s="28" t="n"/>
    </row>
    <row r="40" ht="15" customHeight="1" s="19">
      <c r="A40" s="28" t="n"/>
      <c r="B40" s="31" t="n"/>
      <c r="C40" s="28" t="n"/>
      <c r="D40" s="28" t="n"/>
      <c r="E40" s="28" t="n"/>
      <c r="F40" s="28" t="n"/>
      <c r="G40" s="28" t="n"/>
      <c r="H40" s="32">
        <f>IF(A40="","",SUMIFS(Detalle!$D$5:$D$300,Detalle!$A$5:$A$300,A40))</f>
        <v/>
      </c>
      <c r="I40" s="33">
        <f>IF(A40="","",SUMIFS(Detalle!$F$5:$F$300,Detalle!$A$5:$A$300,A40))</f>
        <v/>
      </c>
      <c r="J40" s="34" t="n"/>
      <c r="K40" s="33">
        <f>IF(A40="","",I40+N(J40))</f>
        <v/>
      </c>
      <c r="L40" s="28" t="n"/>
      <c r="M40" s="28" t="n"/>
    </row>
    <row r="41" ht="15" customHeight="1" s="19">
      <c r="A41" s="28" t="n"/>
      <c r="B41" s="31" t="n"/>
      <c r="C41" s="28" t="n"/>
      <c r="D41" s="28" t="n"/>
      <c r="E41" s="28" t="n"/>
      <c r="F41" s="28" t="n"/>
      <c r="G41" s="28" t="n"/>
      <c r="H41" s="32">
        <f>IF(A41="","",SUMIFS(Detalle!$D$5:$D$300,Detalle!$A$5:$A$300,A41))</f>
        <v/>
      </c>
      <c r="I41" s="33">
        <f>IF(A41="","",SUMIFS(Detalle!$F$5:$F$300,Detalle!$A$5:$A$300,A41))</f>
        <v/>
      </c>
      <c r="J41" s="34" t="n"/>
      <c r="K41" s="33">
        <f>IF(A41="","",I41+N(J41))</f>
        <v/>
      </c>
      <c r="L41" s="28" t="n"/>
      <c r="M41" s="28" t="n"/>
    </row>
    <row r="42" ht="15" customHeight="1" s="19">
      <c r="A42" s="28" t="n"/>
      <c r="B42" s="31" t="n"/>
      <c r="C42" s="28" t="n"/>
      <c r="D42" s="28" t="n"/>
      <c r="E42" s="28" t="n"/>
      <c r="F42" s="28" t="n"/>
      <c r="G42" s="28" t="n"/>
      <c r="H42" s="32">
        <f>IF(A42="","",SUMIFS(Detalle!$D$5:$D$300,Detalle!$A$5:$A$300,A42))</f>
        <v/>
      </c>
      <c r="I42" s="33">
        <f>IF(A42="","",SUMIFS(Detalle!$F$5:$F$300,Detalle!$A$5:$A$300,A42))</f>
        <v/>
      </c>
      <c r="J42" s="34" t="n"/>
      <c r="K42" s="33">
        <f>IF(A42="","",I42+N(J42))</f>
        <v/>
      </c>
      <c r="L42" s="28" t="n"/>
      <c r="M42" s="28" t="n"/>
    </row>
    <row r="43" ht="15" customHeight="1" s="19">
      <c r="A43" s="28" t="n"/>
      <c r="B43" s="31" t="n"/>
      <c r="C43" s="28" t="n"/>
      <c r="D43" s="28" t="n"/>
      <c r="E43" s="28" t="n"/>
      <c r="F43" s="28" t="n"/>
      <c r="G43" s="28" t="n"/>
      <c r="H43" s="32">
        <f>IF(A43="","",SUMIFS(Detalle!$D$5:$D$300,Detalle!$A$5:$A$300,A43))</f>
        <v/>
      </c>
      <c r="I43" s="33">
        <f>IF(A43="","",SUMIFS(Detalle!$F$5:$F$300,Detalle!$A$5:$A$300,A43))</f>
        <v/>
      </c>
      <c r="J43" s="34" t="n"/>
      <c r="K43" s="33">
        <f>IF(A43="","",I43+N(J43))</f>
        <v/>
      </c>
      <c r="L43" s="28" t="n"/>
      <c r="M43" s="28" t="n"/>
    </row>
    <row r="44" ht="15" customHeight="1" s="19">
      <c r="A44" s="28" t="n"/>
      <c r="B44" s="31" t="n"/>
      <c r="C44" s="28" t="n"/>
      <c r="D44" s="28" t="n"/>
      <c r="E44" s="28" t="n"/>
      <c r="F44" s="28" t="n"/>
      <c r="G44" s="28" t="n"/>
      <c r="H44" s="32">
        <f>IF(A44="","",SUMIFS(Detalle!$D$5:$D$300,Detalle!$A$5:$A$300,A44))</f>
        <v/>
      </c>
      <c r="I44" s="33">
        <f>IF(A44="","",SUMIFS(Detalle!$F$5:$F$300,Detalle!$A$5:$A$300,A44))</f>
        <v/>
      </c>
      <c r="J44" s="34" t="n"/>
      <c r="K44" s="33">
        <f>IF(A44="","",I44+N(J44))</f>
        <v/>
      </c>
      <c r="L44" s="28" t="n"/>
      <c r="M44" s="28" t="n"/>
    </row>
    <row r="45" ht="15" customHeight="1" s="19">
      <c r="A45" s="28" t="n"/>
      <c r="B45" s="31" t="n"/>
      <c r="C45" s="28" t="n"/>
      <c r="D45" s="28" t="n"/>
      <c r="E45" s="28" t="n"/>
      <c r="F45" s="28" t="n"/>
      <c r="G45" s="28" t="n"/>
      <c r="H45" s="32">
        <f>IF(A45="","",SUMIFS(Detalle!$D$5:$D$300,Detalle!$A$5:$A$300,A45))</f>
        <v/>
      </c>
      <c r="I45" s="33">
        <f>IF(A45="","",SUMIFS(Detalle!$F$5:$F$300,Detalle!$A$5:$A$300,A45))</f>
        <v/>
      </c>
      <c r="J45" s="34" t="n"/>
      <c r="K45" s="33">
        <f>IF(A45="","",I45+N(J45))</f>
        <v/>
      </c>
      <c r="L45" s="28" t="n"/>
      <c r="M45" s="28" t="n"/>
    </row>
    <row r="46" ht="15" customHeight="1" s="19">
      <c r="A46" s="28" t="n"/>
      <c r="B46" s="31" t="n"/>
      <c r="C46" s="28" t="n"/>
      <c r="D46" s="28" t="n"/>
      <c r="E46" s="28" t="n"/>
      <c r="F46" s="28" t="n"/>
      <c r="G46" s="28" t="n"/>
      <c r="H46" s="32">
        <f>IF(A46="","",SUMIFS(Detalle!$D$5:$D$300,Detalle!$A$5:$A$300,A46))</f>
        <v/>
      </c>
      <c r="I46" s="33">
        <f>IF(A46="","",SUMIFS(Detalle!$F$5:$F$300,Detalle!$A$5:$A$300,A46))</f>
        <v/>
      </c>
      <c r="J46" s="34" t="n"/>
      <c r="K46" s="33">
        <f>IF(A46="","",I46+N(J46))</f>
        <v/>
      </c>
      <c r="L46" s="28" t="n"/>
      <c r="M46" s="28" t="n"/>
    </row>
    <row r="47" ht="15" customHeight="1" s="19">
      <c r="A47" s="28" t="n"/>
      <c r="B47" s="31" t="n"/>
      <c r="C47" s="28" t="n"/>
      <c r="D47" s="28" t="n"/>
      <c r="E47" s="28" t="n"/>
      <c r="F47" s="28" t="n"/>
      <c r="G47" s="28" t="n"/>
      <c r="H47" s="32">
        <f>IF(A47="","",SUMIFS(Detalle!$D$5:$D$300,Detalle!$A$5:$A$300,A47))</f>
        <v/>
      </c>
      <c r="I47" s="33">
        <f>IF(A47="","",SUMIFS(Detalle!$F$5:$F$300,Detalle!$A$5:$A$300,A47))</f>
        <v/>
      </c>
      <c r="J47" s="34" t="n"/>
      <c r="K47" s="33">
        <f>IF(A47="","",I47+N(J47))</f>
        <v/>
      </c>
      <c r="L47" s="28" t="n"/>
      <c r="M47" s="28" t="n"/>
    </row>
    <row r="48" ht="15" customHeight="1" s="19">
      <c r="A48" s="28" t="n"/>
      <c r="B48" s="31" t="n"/>
      <c r="C48" s="28" t="n"/>
      <c r="D48" s="28" t="n"/>
      <c r="E48" s="28" t="n"/>
      <c r="F48" s="28" t="n"/>
      <c r="G48" s="28" t="n"/>
      <c r="H48" s="32">
        <f>IF(A48="","",SUMIFS(Detalle!$D$5:$D$300,Detalle!$A$5:$A$300,A48))</f>
        <v/>
      </c>
      <c r="I48" s="33">
        <f>IF(A48="","",SUMIFS(Detalle!$F$5:$F$300,Detalle!$A$5:$A$300,A48))</f>
        <v/>
      </c>
      <c r="J48" s="34" t="n"/>
      <c r="K48" s="33">
        <f>IF(A48="","",I48+N(J48))</f>
        <v/>
      </c>
      <c r="L48" s="28" t="n"/>
      <c r="M48" s="28" t="n"/>
    </row>
    <row r="49" ht="15" customHeight="1" s="19">
      <c r="A49" s="28" t="n"/>
      <c r="B49" s="31" t="n"/>
      <c r="C49" s="28" t="n"/>
      <c r="D49" s="28" t="n"/>
      <c r="E49" s="28" t="n"/>
      <c r="F49" s="28" t="n"/>
      <c r="G49" s="28" t="n"/>
      <c r="H49" s="32">
        <f>IF(A49="","",SUMIFS(Detalle!$D$5:$D$300,Detalle!$A$5:$A$300,A49))</f>
        <v/>
      </c>
      <c r="I49" s="33">
        <f>IF(A49="","",SUMIFS(Detalle!$F$5:$F$300,Detalle!$A$5:$A$300,A49))</f>
        <v/>
      </c>
      <c r="J49" s="34" t="n"/>
      <c r="K49" s="33">
        <f>IF(A49="","",I49+N(J49))</f>
        <v/>
      </c>
      <c r="L49" s="28" t="n"/>
      <c r="M49" s="28" t="n"/>
    </row>
    <row r="50" ht="15" customHeight="1" s="19">
      <c r="A50" s="28" t="n"/>
      <c r="B50" s="31" t="n"/>
      <c r="C50" s="28" t="n"/>
      <c r="D50" s="28" t="n"/>
      <c r="E50" s="28" t="n"/>
      <c r="F50" s="28" t="n"/>
      <c r="G50" s="28" t="n"/>
      <c r="H50" s="32">
        <f>IF(A50="","",SUMIFS(Detalle!$D$5:$D$300,Detalle!$A$5:$A$300,A50))</f>
        <v/>
      </c>
      <c r="I50" s="33">
        <f>IF(A50="","",SUMIFS(Detalle!$F$5:$F$300,Detalle!$A$5:$A$300,A50))</f>
        <v/>
      </c>
      <c r="J50" s="34" t="n"/>
      <c r="K50" s="33">
        <f>IF(A50="","",I50+N(J50))</f>
        <v/>
      </c>
      <c r="L50" s="28" t="n"/>
      <c r="M50" s="28" t="n"/>
    </row>
    <row r="51" ht="15" customHeight="1" s="19">
      <c r="A51" s="28" t="n"/>
      <c r="B51" s="31" t="n"/>
      <c r="C51" s="28" t="n"/>
      <c r="D51" s="28" t="n"/>
      <c r="E51" s="28" t="n"/>
      <c r="F51" s="28" t="n"/>
      <c r="G51" s="28" t="n"/>
      <c r="H51" s="32">
        <f>IF(A51="","",SUMIFS(Detalle!$D$5:$D$300,Detalle!$A$5:$A$300,A51))</f>
        <v/>
      </c>
      <c r="I51" s="33">
        <f>IF(A51="","",SUMIFS(Detalle!$F$5:$F$300,Detalle!$A$5:$A$300,A51))</f>
        <v/>
      </c>
      <c r="J51" s="34" t="n"/>
      <c r="K51" s="33">
        <f>IF(A51="","",I51+N(J51))</f>
        <v/>
      </c>
      <c r="L51" s="28" t="n"/>
      <c r="M51" s="28" t="n"/>
    </row>
    <row r="52" ht="15" customHeight="1" s="19">
      <c r="A52" s="28" t="n"/>
      <c r="B52" s="31" t="n"/>
      <c r="C52" s="28" t="n"/>
      <c r="D52" s="28" t="n"/>
      <c r="E52" s="28" t="n"/>
      <c r="F52" s="28" t="n"/>
      <c r="G52" s="28" t="n"/>
      <c r="H52" s="32">
        <f>IF(A52="","",SUMIFS(Detalle!$D$5:$D$300,Detalle!$A$5:$A$300,A52))</f>
        <v/>
      </c>
      <c r="I52" s="33">
        <f>IF(A52="","",SUMIFS(Detalle!$F$5:$F$300,Detalle!$A$5:$A$300,A52))</f>
        <v/>
      </c>
      <c r="J52" s="34" t="n"/>
      <c r="K52" s="33">
        <f>IF(A52="","",I52+N(J52))</f>
        <v/>
      </c>
      <c r="L52" s="28" t="n"/>
      <c r="M52" s="28" t="n"/>
    </row>
    <row r="53" ht="15" customHeight="1" s="19">
      <c r="A53" s="28" t="n"/>
      <c r="B53" s="31" t="n"/>
      <c r="C53" s="28" t="n"/>
      <c r="D53" s="28" t="n"/>
      <c r="E53" s="28" t="n"/>
      <c r="F53" s="28" t="n"/>
      <c r="G53" s="28" t="n"/>
      <c r="H53" s="32">
        <f>IF(A53="","",SUMIFS(Detalle!$D$5:$D$300,Detalle!$A$5:$A$300,A53))</f>
        <v/>
      </c>
      <c r="I53" s="33">
        <f>IF(A53="","",SUMIFS(Detalle!$F$5:$F$300,Detalle!$A$5:$A$300,A53))</f>
        <v/>
      </c>
      <c r="J53" s="34" t="n"/>
      <c r="K53" s="33">
        <f>IF(A53="","",I53+N(J53))</f>
        <v/>
      </c>
      <c r="L53" s="28" t="n"/>
      <c r="M53" s="28" t="n"/>
    </row>
    <row r="54" ht="15" customHeight="1" s="19">
      <c r="A54" s="28" t="n"/>
      <c r="B54" s="31" t="n"/>
      <c r="C54" s="28" t="n"/>
      <c r="D54" s="28" t="n"/>
      <c r="E54" s="28" t="n"/>
      <c r="F54" s="28" t="n"/>
      <c r="G54" s="28" t="n"/>
      <c r="H54" s="32">
        <f>IF(A54="","",SUMIFS(Detalle!$D$5:$D$300,Detalle!$A$5:$A$300,A54))</f>
        <v/>
      </c>
      <c r="I54" s="33">
        <f>IF(A54="","",SUMIFS(Detalle!$F$5:$F$300,Detalle!$A$5:$A$300,A54))</f>
        <v/>
      </c>
      <c r="J54" s="34" t="n"/>
      <c r="K54" s="33">
        <f>IF(A54="","",I54+N(J54))</f>
        <v/>
      </c>
      <c r="L54" s="28" t="n"/>
      <c r="M54" s="28" t="n"/>
    </row>
    <row r="55" ht="15" customHeight="1" s="19">
      <c r="A55" s="28" t="n"/>
      <c r="B55" s="31" t="n"/>
      <c r="C55" s="28" t="n"/>
      <c r="D55" s="28" t="n"/>
      <c r="E55" s="28" t="n"/>
      <c r="F55" s="28" t="n"/>
      <c r="G55" s="28" t="n"/>
      <c r="H55" s="32">
        <f>IF(A55="","",SUMIFS(Detalle!$D$5:$D$300,Detalle!$A$5:$A$300,A55))</f>
        <v/>
      </c>
      <c r="I55" s="33">
        <f>IF(A55="","",SUMIFS(Detalle!$F$5:$F$300,Detalle!$A$5:$A$300,A55))</f>
        <v/>
      </c>
      <c r="J55" s="34" t="n"/>
      <c r="K55" s="33">
        <f>IF(A55="","",I55+N(J55))</f>
        <v/>
      </c>
      <c r="L55" s="28" t="n"/>
      <c r="M55" s="28" t="n"/>
    </row>
    <row r="56" ht="15" customHeight="1" s="19">
      <c r="A56" s="28" t="n"/>
      <c r="B56" s="31" t="n"/>
      <c r="C56" s="28" t="n"/>
      <c r="D56" s="28" t="n"/>
      <c r="E56" s="28" t="n"/>
      <c r="F56" s="28" t="n"/>
      <c r="G56" s="28" t="n"/>
      <c r="H56" s="32">
        <f>IF(A56="","",SUMIFS(Detalle!$D$5:$D$300,Detalle!$A$5:$A$300,A56))</f>
        <v/>
      </c>
      <c r="I56" s="33">
        <f>IF(A56="","",SUMIFS(Detalle!$F$5:$F$300,Detalle!$A$5:$A$300,A56))</f>
        <v/>
      </c>
      <c r="J56" s="34" t="n"/>
      <c r="K56" s="33">
        <f>IF(A56="","",I56+N(J56))</f>
        <v/>
      </c>
      <c r="L56" s="28" t="n"/>
      <c r="M56" s="28" t="n"/>
    </row>
    <row r="57" ht="15" customHeight="1" s="19">
      <c r="A57" s="28" t="n"/>
      <c r="B57" s="31" t="n"/>
      <c r="C57" s="28" t="n"/>
      <c r="D57" s="28" t="n"/>
      <c r="E57" s="28" t="n"/>
      <c r="F57" s="28" t="n"/>
      <c r="G57" s="28" t="n"/>
      <c r="H57" s="32">
        <f>IF(A57="","",SUMIFS(Detalle!$D$5:$D$300,Detalle!$A$5:$A$300,A57))</f>
        <v/>
      </c>
      <c r="I57" s="33">
        <f>IF(A57="","",SUMIFS(Detalle!$F$5:$F$300,Detalle!$A$5:$A$300,A57))</f>
        <v/>
      </c>
      <c r="J57" s="34" t="n"/>
      <c r="K57" s="33">
        <f>IF(A57="","",I57+N(J57))</f>
        <v/>
      </c>
      <c r="L57" s="28" t="n"/>
      <c r="M57" s="28" t="n"/>
    </row>
    <row r="58" ht="15" customHeight="1" s="19">
      <c r="A58" s="28" t="n"/>
      <c r="B58" s="31" t="n"/>
      <c r="C58" s="28" t="n"/>
      <c r="D58" s="28" t="n"/>
      <c r="E58" s="28" t="n"/>
      <c r="F58" s="28" t="n"/>
      <c r="G58" s="28" t="n"/>
      <c r="H58" s="32">
        <f>IF(A58="","",SUMIFS(Detalle!$D$5:$D$300,Detalle!$A$5:$A$300,A58))</f>
        <v/>
      </c>
      <c r="I58" s="33">
        <f>IF(A58="","",SUMIFS(Detalle!$F$5:$F$300,Detalle!$A$5:$A$300,A58))</f>
        <v/>
      </c>
      <c r="J58" s="34" t="n"/>
      <c r="K58" s="33">
        <f>IF(A58="","",I58+N(J58))</f>
        <v/>
      </c>
      <c r="L58" s="28" t="n"/>
      <c r="M58" s="28" t="n"/>
    </row>
    <row r="59" ht="15" customHeight="1" s="19">
      <c r="A59" s="28" t="n"/>
      <c r="B59" s="31" t="n"/>
      <c r="C59" s="28" t="n"/>
      <c r="D59" s="28" t="n"/>
      <c r="E59" s="28" t="n"/>
      <c r="F59" s="28" t="n"/>
      <c r="G59" s="28" t="n"/>
      <c r="H59" s="32">
        <f>IF(A59="","",SUMIFS(Detalle!$D$5:$D$300,Detalle!$A$5:$A$300,A59))</f>
        <v/>
      </c>
      <c r="I59" s="33">
        <f>IF(A59="","",SUMIFS(Detalle!$F$5:$F$300,Detalle!$A$5:$A$300,A59))</f>
        <v/>
      </c>
      <c r="J59" s="34" t="n"/>
      <c r="K59" s="33">
        <f>IF(A59="","",I59+N(J59))</f>
        <v/>
      </c>
      <c r="L59" s="28" t="n"/>
      <c r="M59" s="28" t="n"/>
    </row>
    <row r="60" ht="15" customHeight="1" s="19">
      <c r="A60" s="28" t="n"/>
      <c r="B60" s="31" t="n"/>
      <c r="C60" s="28" t="n"/>
      <c r="D60" s="28" t="n"/>
      <c r="E60" s="28" t="n"/>
      <c r="F60" s="28" t="n"/>
      <c r="G60" s="28" t="n"/>
      <c r="H60" s="32">
        <f>IF(A60="","",SUMIFS(Detalle!$D$5:$D$300,Detalle!$A$5:$A$300,A60))</f>
        <v/>
      </c>
      <c r="I60" s="33">
        <f>IF(A60="","",SUMIFS(Detalle!$F$5:$F$300,Detalle!$A$5:$A$300,A60))</f>
        <v/>
      </c>
      <c r="J60" s="34" t="n"/>
      <c r="K60" s="33">
        <f>IF(A60="","",I60+N(J60))</f>
        <v/>
      </c>
      <c r="L60" s="28" t="n"/>
      <c r="M60" s="28" t="n"/>
    </row>
    <row r="61" ht="15" customHeight="1" s="19">
      <c r="A61" s="28" t="n"/>
      <c r="B61" s="31" t="n"/>
      <c r="C61" s="28" t="n"/>
      <c r="D61" s="28" t="n"/>
      <c r="E61" s="28" t="n"/>
      <c r="F61" s="28" t="n"/>
      <c r="G61" s="28" t="n"/>
      <c r="H61" s="32">
        <f>IF(A61="","",SUMIFS(Detalle!$D$5:$D$300,Detalle!$A$5:$A$300,A61))</f>
        <v/>
      </c>
      <c r="I61" s="33">
        <f>IF(A61="","",SUMIFS(Detalle!$F$5:$F$300,Detalle!$A$5:$A$300,A61))</f>
        <v/>
      </c>
      <c r="J61" s="34" t="n"/>
      <c r="K61" s="33">
        <f>IF(A61="","",I61+N(J61))</f>
        <v/>
      </c>
      <c r="L61" s="28" t="n"/>
      <c r="M61" s="28" t="n"/>
    </row>
    <row r="62" ht="15" customHeight="1" s="19">
      <c r="A62" s="28" t="n"/>
      <c r="B62" s="31" t="n"/>
      <c r="C62" s="28" t="n"/>
      <c r="D62" s="28" t="n"/>
      <c r="E62" s="28" t="n"/>
      <c r="F62" s="28" t="n"/>
      <c r="G62" s="28" t="n"/>
      <c r="H62" s="32">
        <f>IF(A62="","",SUMIFS(Detalle!$D$5:$D$300,Detalle!$A$5:$A$300,A62))</f>
        <v/>
      </c>
      <c r="I62" s="33">
        <f>IF(A62="","",SUMIFS(Detalle!$F$5:$F$300,Detalle!$A$5:$A$300,A62))</f>
        <v/>
      </c>
      <c r="J62" s="34" t="n"/>
      <c r="K62" s="33">
        <f>IF(A62="","",I62+N(J62))</f>
        <v/>
      </c>
      <c r="L62" s="28" t="n"/>
      <c r="M62" s="28" t="n"/>
    </row>
    <row r="63" ht="15" customHeight="1" s="19">
      <c r="A63" s="28" t="n"/>
      <c r="B63" s="31" t="n"/>
      <c r="C63" s="28" t="n"/>
      <c r="D63" s="28" t="n"/>
      <c r="E63" s="28" t="n"/>
      <c r="F63" s="28" t="n"/>
      <c r="G63" s="28" t="n"/>
      <c r="H63" s="32">
        <f>IF(A63="","",SUMIFS(Detalle!$D$5:$D$300,Detalle!$A$5:$A$300,A63))</f>
        <v/>
      </c>
      <c r="I63" s="33">
        <f>IF(A63="","",SUMIFS(Detalle!$F$5:$F$300,Detalle!$A$5:$A$300,A63))</f>
        <v/>
      </c>
      <c r="J63" s="34" t="n"/>
      <c r="K63" s="33">
        <f>IF(A63="","",I63+N(J63))</f>
        <v/>
      </c>
      <c r="L63" s="28" t="n"/>
      <c r="M63" s="28" t="n"/>
    </row>
    <row r="64" ht="15" customHeight="1" s="19">
      <c r="A64" s="28" t="n"/>
      <c r="B64" s="31" t="n"/>
      <c r="C64" s="28" t="n"/>
      <c r="D64" s="28" t="n"/>
      <c r="E64" s="28" t="n"/>
      <c r="F64" s="28" t="n"/>
      <c r="G64" s="28" t="n"/>
      <c r="H64" s="32">
        <f>IF(A64="","",SUMIFS(Detalle!$D$5:$D$300,Detalle!$A$5:$A$300,A64))</f>
        <v/>
      </c>
      <c r="I64" s="33">
        <f>IF(A64="","",SUMIFS(Detalle!$F$5:$F$300,Detalle!$A$5:$A$300,A64))</f>
        <v/>
      </c>
      <c r="J64" s="34" t="n"/>
      <c r="K64" s="33">
        <f>IF(A64="","",I64+N(J64))</f>
        <v/>
      </c>
      <c r="L64" s="28" t="n"/>
      <c r="M64" s="28" t="n"/>
    </row>
    <row r="65" ht="15" customHeight="1" s="19">
      <c r="A65" s="28" t="n"/>
      <c r="B65" s="31" t="n"/>
      <c r="C65" s="28" t="n"/>
      <c r="D65" s="28" t="n"/>
      <c r="E65" s="28" t="n"/>
      <c r="F65" s="28" t="n"/>
      <c r="G65" s="28" t="n"/>
      <c r="H65" s="32">
        <f>IF(A65="","",SUMIFS(Detalle!$D$5:$D$300,Detalle!$A$5:$A$300,A65))</f>
        <v/>
      </c>
      <c r="I65" s="33">
        <f>IF(A65="","",SUMIFS(Detalle!$F$5:$F$300,Detalle!$A$5:$A$300,A65))</f>
        <v/>
      </c>
      <c r="J65" s="34" t="n"/>
      <c r="K65" s="33">
        <f>IF(A65="","",I65+N(J65))</f>
        <v/>
      </c>
      <c r="L65" s="28" t="n"/>
      <c r="M65" s="28" t="n"/>
    </row>
    <row r="66" ht="15" customHeight="1" s="19">
      <c r="A66" s="28" t="n"/>
      <c r="B66" s="31" t="n"/>
      <c r="C66" s="28" t="n"/>
      <c r="D66" s="28" t="n"/>
      <c r="E66" s="28" t="n"/>
      <c r="F66" s="28" t="n"/>
      <c r="G66" s="28" t="n"/>
      <c r="H66" s="32">
        <f>IF(A66="","",SUMIFS(Detalle!$D$5:$D$300,Detalle!$A$5:$A$300,A66))</f>
        <v/>
      </c>
      <c r="I66" s="33">
        <f>IF(A66="","",SUMIFS(Detalle!$F$5:$F$300,Detalle!$A$5:$A$300,A66))</f>
        <v/>
      </c>
      <c r="J66" s="34" t="n"/>
      <c r="K66" s="33">
        <f>IF(A66="","",I66+N(J66))</f>
        <v/>
      </c>
      <c r="L66" s="28" t="n"/>
      <c r="M66" s="28" t="n"/>
    </row>
    <row r="67" ht="15" customHeight="1" s="19">
      <c r="A67" s="28" t="n"/>
      <c r="B67" s="31" t="n"/>
      <c r="C67" s="28" t="n"/>
      <c r="D67" s="28" t="n"/>
      <c r="E67" s="28" t="n"/>
      <c r="F67" s="28" t="n"/>
      <c r="G67" s="28" t="n"/>
      <c r="H67" s="32">
        <f>IF(A67="","",SUMIFS(Detalle!$D$5:$D$300,Detalle!$A$5:$A$300,A67))</f>
        <v/>
      </c>
      <c r="I67" s="33">
        <f>IF(A67="","",SUMIFS(Detalle!$F$5:$F$300,Detalle!$A$5:$A$300,A67))</f>
        <v/>
      </c>
      <c r="J67" s="34" t="n"/>
      <c r="K67" s="33">
        <f>IF(A67="","",I67+N(J67))</f>
        <v/>
      </c>
      <c r="L67" s="28" t="n"/>
      <c r="M67" s="28" t="n"/>
    </row>
    <row r="68" ht="15" customHeight="1" s="19">
      <c r="A68" s="28" t="n"/>
      <c r="B68" s="31" t="n"/>
      <c r="C68" s="28" t="n"/>
      <c r="D68" s="28" t="n"/>
      <c r="E68" s="28" t="n"/>
      <c r="F68" s="28" t="n"/>
      <c r="G68" s="28" t="n"/>
      <c r="H68" s="32">
        <f>IF(A68="","",SUMIFS(Detalle!$D$5:$D$300,Detalle!$A$5:$A$300,A68))</f>
        <v/>
      </c>
      <c r="I68" s="33">
        <f>IF(A68="","",SUMIFS(Detalle!$F$5:$F$300,Detalle!$A$5:$A$300,A68))</f>
        <v/>
      </c>
      <c r="J68" s="34" t="n"/>
      <c r="K68" s="33">
        <f>IF(A68="","",I68+N(J68))</f>
        <v/>
      </c>
      <c r="L68" s="28" t="n"/>
      <c r="M68" s="28" t="n"/>
    </row>
    <row r="69" ht="15" customHeight="1" s="19">
      <c r="A69" s="28" t="n"/>
      <c r="B69" s="31" t="n"/>
      <c r="C69" s="28" t="n"/>
      <c r="D69" s="28" t="n"/>
      <c r="E69" s="28" t="n"/>
      <c r="F69" s="28" t="n"/>
      <c r="G69" s="28" t="n"/>
      <c r="H69" s="32">
        <f>IF(A69="","",SUMIFS(Detalle!$D$5:$D$300,Detalle!$A$5:$A$300,A69))</f>
        <v/>
      </c>
      <c r="I69" s="33">
        <f>IF(A69="","",SUMIFS(Detalle!$F$5:$F$300,Detalle!$A$5:$A$300,A69))</f>
        <v/>
      </c>
      <c r="J69" s="34" t="n"/>
      <c r="K69" s="33">
        <f>IF(A69="","",I69+N(J69))</f>
        <v/>
      </c>
      <c r="L69" s="28" t="n"/>
      <c r="M69" s="28" t="n"/>
    </row>
    <row r="70" ht="15" customHeight="1" s="19">
      <c r="A70" s="28" t="n"/>
      <c r="B70" s="31" t="n"/>
      <c r="C70" s="28" t="n"/>
      <c r="D70" s="28" t="n"/>
      <c r="E70" s="28" t="n"/>
      <c r="F70" s="28" t="n"/>
      <c r="G70" s="28" t="n"/>
      <c r="H70" s="32">
        <f>IF(A70="","",SUMIFS(Detalle!$D$5:$D$300,Detalle!$A$5:$A$300,A70))</f>
        <v/>
      </c>
      <c r="I70" s="33">
        <f>IF(A70="","",SUMIFS(Detalle!$F$5:$F$300,Detalle!$A$5:$A$300,A70))</f>
        <v/>
      </c>
      <c r="J70" s="34" t="n"/>
      <c r="K70" s="33">
        <f>IF(A70="","",I70+N(J70))</f>
        <v/>
      </c>
      <c r="L70" s="28" t="n"/>
      <c r="M70" s="28" t="n"/>
    </row>
    <row r="71" ht="15" customHeight="1" s="19">
      <c r="A71" s="28" t="n"/>
      <c r="B71" s="31" t="n"/>
      <c r="C71" s="28" t="n"/>
      <c r="D71" s="28" t="n"/>
      <c r="E71" s="28" t="n"/>
      <c r="F71" s="28" t="n"/>
      <c r="G71" s="28" t="n"/>
      <c r="H71" s="32">
        <f>IF(A71="","",SUMIFS(Detalle!$D$5:$D$300,Detalle!$A$5:$A$300,A71))</f>
        <v/>
      </c>
      <c r="I71" s="33">
        <f>IF(A71="","",SUMIFS(Detalle!$F$5:$F$300,Detalle!$A$5:$A$300,A71))</f>
        <v/>
      </c>
      <c r="J71" s="34" t="n"/>
      <c r="K71" s="33">
        <f>IF(A71="","",I71+N(J71))</f>
        <v/>
      </c>
      <c r="L71" s="28" t="n"/>
      <c r="M71" s="28" t="n"/>
    </row>
    <row r="72" ht="15" customHeight="1" s="19">
      <c r="A72" s="28" t="n"/>
      <c r="B72" s="31" t="n"/>
      <c r="C72" s="28" t="n"/>
      <c r="D72" s="28" t="n"/>
      <c r="E72" s="28" t="n"/>
      <c r="F72" s="28" t="n"/>
      <c r="G72" s="28" t="n"/>
      <c r="H72" s="32">
        <f>IF(A72="","",SUMIFS(Detalle!$D$5:$D$300,Detalle!$A$5:$A$300,A72))</f>
        <v/>
      </c>
      <c r="I72" s="33">
        <f>IF(A72="","",SUMIFS(Detalle!$F$5:$F$300,Detalle!$A$5:$A$300,A72))</f>
        <v/>
      </c>
      <c r="J72" s="34" t="n"/>
      <c r="K72" s="33">
        <f>IF(A72="","",I72+N(J72))</f>
        <v/>
      </c>
      <c r="L72" s="28" t="n"/>
      <c r="M72" s="28" t="n"/>
    </row>
    <row r="73" ht="15" customHeight="1" s="19">
      <c r="A73" s="28" t="n"/>
      <c r="B73" s="31" t="n"/>
      <c r="C73" s="28" t="n"/>
      <c r="D73" s="28" t="n"/>
      <c r="E73" s="28" t="n"/>
      <c r="F73" s="28" t="n"/>
      <c r="G73" s="28" t="n"/>
      <c r="H73" s="32">
        <f>IF(A73="","",SUMIFS(Detalle!$D$5:$D$300,Detalle!$A$5:$A$300,A73))</f>
        <v/>
      </c>
      <c r="I73" s="33">
        <f>IF(A73="","",SUMIFS(Detalle!$F$5:$F$300,Detalle!$A$5:$A$300,A73))</f>
        <v/>
      </c>
      <c r="J73" s="34" t="n"/>
      <c r="K73" s="33">
        <f>IF(A73="","",I73+N(J73))</f>
        <v/>
      </c>
      <c r="L73" s="28" t="n"/>
      <c r="M73" s="28" t="n"/>
    </row>
    <row r="74" ht="15" customHeight="1" s="19">
      <c r="A74" s="28" t="n"/>
      <c r="B74" s="31" t="n"/>
      <c r="C74" s="28" t="n"/>
      <c r="D74" s="28" t="n"/>
      <c r="E74" s="28" t="n"/>
      <c r="F74" s="28" t="n"/>
      <c r="G74" s="28" t="n"/>
      <c r="H74" s="32">
        <f>IF(A74="","",SUMIFS(Detalle!$D$5:$D$300,Detalle!$A$5:$A$300,A74))</f>
        <v/>
      </c>
      <c r="I74" s="33">
        <f>IF(A74="","",SUMIFS(Detalle!$F$5:$F$300,Detalle!$A$5:$A$300,A74))</f>
        <v/>
      </c>
      <c r="J74" s="34" t="n"/>
      <c r="K74" s="33">
        <f>IF(A74="","",I74+N(J74))</f>
        <v/>
      </c>
      <c r="L74" s="28" t="n"/>
      <c r="M74" s="28" t="n"/>
    </row>
    <row r="75" ht="15" customHeight="1" s="19">
      <c r="A75" s="28" t="n"/>
      <c r="B75" s="31" t="n"/>
      <c r="C75" s="28" t="n"/>
      <c r="D75" s="28" t="n"/>
      <c r="E75" s="28" t="n"/>
      <c r="F75" s="28" t="n"/>
      <c r="G75" s="28" t="n"/>
      <c r="H75" s="32">
        <f>IF(A75="","",SUMIFS(Detalle!$D$5:$D$300,Detalle!$A$5:$A$300,A75))</f>
        <v/>
      </c>
      <c r="I75" s="33">
        <f>IF(A75="","",SUMIFS(Detalle!$F$5:$F$300,Detalle!$A$5:$A$300,A75))</f>
        <v/>
      </c>
      <c r="J75" s="34" t="n"/>
      <c r="K75" s="33">
        <f>IF(A75="","",I75+N(J75))</f>
        <v/>
      </c>
      <c r="L75" s="28" t="n"/>
      <c r="M75" s="28" t="n"/>
    </row>
    <row r="76" ht="15" customHeight="1" s="19">
      <c r="A76" s="28" t="n"/>
      <c r="B76" s="31" t="n"/>
      <c r="C76" s="28" t="n"/>
      <c r="D76" s="28" t="n"/>
      <c r="E76" s="28" t="n"/>
      <c r="F76" s="28" t="n"/>
      <c r="G76" s="28" t="n"/>
      <c r="H76" s="32">
        <f>IF(A76="","",SUMIFS(Detalle!$D$5:$D$300,Detalle!$A$5:$A$300,A76))</f>
        <v/>
      </c>
      <c r="I76" s="33">
        <f>IF(A76="","",SUMIFS(Detalle!$F$5:$F$300,Detalle!$A$5:$A$300,A76))</f>
        <v/>
      </c>
      <c r="J76" s="34" t="n"/>
      <c r="K76" s="33">
        <f>IF(A76="","",I76+N(J76))</f>
        <v/>
      </c>
      <c r="L76" s="28" t="n"/>
      <c r="M76" s="28" t="n"/>
    </row>
    <row r="77" ht="15" customHeight="1" s="19">
      <c r="A77" s="28" t="n"/>
      <c r="B77" s="31" t="n"/>
      <c r="C77" s="28" t="n"/>
      <c r="D77" s="28" t="n"/>
      <c r="E77" s="28" t="n"/>
      <c r="F77" s="28" t="n"/>
      <c r="G77" s="28" t="n"/>
      <c r="H77" s="32">
        <f>IF(A77="","",SUMIFS(Detalle!$D$5:$D$300,Detalle!$A$5:$A$300,A77))</f>
        <v/>
      </c>
      <c r="I77" s="33">
        <f>IF(A77="","",SUMIFS(Detalle!$F$5:$F$300,Detalle!$A$5:$A$300,A77))</f>
        <v/>
      </c>
      <c r="J77" s="34" t="n"/>
      <c r="K77" s="33">
        <f>IF(A77="","",I77+N(J77))</f>
        <v/>
      </c>
      <c r="L77" s="28" t="n"/>
      <c r="M77" s="28" t="n"/>
    </row>
    <row r="78" ht="15" customHeight="1" s="19">
      <c r="A78" s="28" t="n"/>
      <c r="B78" s="31" t="n"/>
      <c r="C78" s="28" t="n"/>
      <c r="D78" s="28" t="n"/>
      <c r="E78" s="28" t="n"/>
      <c r="F78" s="28" t="n"/>
      <c r="G78" s="28" t="n"/>
      <c r="H78" s="32">
        <f>IF(A78="","",SUMIFS(Detalle!$D$5:$D$300,Detalle!$A$5:$A$300,A78))</f>
        <v/>
      </c>
      <c r="I78" s="33">
        <f>IF(A78="","",SUMIFS(Detalle!$F$5:$F$300,Detalle!$A$5:$A$300,A78))</f>
        <v/>
      </c>
      <c r="J78" s="34" t="n"/>
      <c r="K78" s="33">
        <f>IF(A78="","",I78+N(J78))</f>
        <v/>
      </c>
      <c r="L78" s="28" t="n"/>
      <c r="M78" s="28" t="n"/>
    </row>
    <row r="79" ht="15" customHeight="1" s="19">
      <c r="A79" s="28" t="n"/>
      <c r="B79" s="31" t="n"/>
      <c r="C79" s="28" t="n"/>
      <c r="D79" s="28" t="n"/>
      <c r="E79" s="28" t="n"/>
      <c r="F79" s="28" t="n"/>
      <c r="G79" s="28" t="n"/>
      <c r="H79" s="32">
        <f>IF(A79="","",SUMIFS(Detalle!$D$5:$D$300,Detalle!$A$5:$A$300,A79))</f>
        <v/>
      </c>
      <c r="I79" s="33">
        <f>IF(A79="","",SUMIFS(Detalle!$F$5:$F$300,Detalle!$A$5:$A$300,A79))</f>
        <v/>
      </c>
      <c r="J79" s="34" t="n"/>
      <c r="K79" s="33">
        <f>IF(A79="","",I79+N(J79))</f>
        <v/>
      </c>
      <c r="L79" s="28" t="n"/>
      <c r="M79" s="28" t="n"/>
    </row>
    <row r="80" ht="15" customHeight="1" s="19">
      <c r="A80" s="28" t="n"/>
      <c r="B80" s="31" t="n"/>
      <c r="C80" s="28" t="n"/>
      <c r="D80" s="28" t="n"/>
      <c r="E80" s="28" t="n"/>
      <c r="F80" s="28" t="n"/>
      <c r="G80" s="28" t="n"/>
      <c r="H80" s="32">
        <f>IF(A80="","",SUMIFS(Detalle!$D$5:$D$300,Detalle!$A$5:$A$300,A80))</f>
        <v/>
      </c>
      <c r="I80" s="33">
        <f>IF(A80="","",SUMIFS(Detalle!$F$5:$F$300,Detalle!$A$5:$A$300,A80))</f>
        <v/>
      </c>
      <c r="J80" s="34" t="n"/>
      <c r="K80" s="33">
        <f>IF(A80="","",I80+N(J80))</f>
        <v/>
      </c>
      <c r="L80" s="28" t="n"/>
      <c r="M80" s="28" t="n"/>
    </row>
    <row r="81" ht="15" customHeight="1" s="19">
      <c r="A81" s="28" t="n"/>
      <c r="B81" s="31" t="n"/>
      <c r="C81" s="28" t="n"/>
      <c r="D81" s="28" t="n"/>
      <c r="E81" s="28" t="n"/>
      <c r="F81" s="28" t="n"/>
      <c r="G81" s="28" t="n"/>
      <c r="H81" s="32">
        <f>IF(A81="","",SUMIFS(Detalle!$D$5:$D$300,Detalle!$A$5:$A$300,A81))</f>
        <v/>
      </c>
      <c r="I81" s="33">
        <f>IF(A81="","",SUMIFS(Detalle!$F$5:$F$300,Detalle!$A$5:$A$300,A81))</f>
        <v/>
      </c>
      <c r="J81" s="34" t="n"/>
      <c r="K81" s="33">
        <f>IF(A81="","",I81+N(J81))</f>
        <v/>
      </c>
      <c r="L81" s="28" t="n"/>
      <c r="M81" s="28" t="n"/>
    </row>
    <row r="82" ht="15" customHeight="1" s="19">
      <c r="A82" s="28" t="n"/>
      <c r="B82" s="31" t="n"/>
      <c r="C82" s="28" t="n"/>
      <c r="D82" s="28" t="n"/>
      <c r="E82" s="28" t="n"/>
      <c r="F82" s="28" t="n"/>
      <c r="G82" s="28" t="n"/>
      <c r="H82" s="32">
        <f>IF(A82="","",SUMIFS(Detalle!$D$5:$D$300,Detalle!$A$5:$A$300,A82))</f>
        <v/>
      </c>
      <c r="I82" s="33">
        <f>IF(A82="","",SUMIFS(Detalle!$F$5:$F$300,Detalle!$A$5:$A$300,A82))</f>
        <v/>
      </c>
      <c r="J82" s="34" t="n"/>
      <c r="K82" s="33">
        <f>IF(A82="","",I82+N(J82))</f>
        <v/>
      </c>
      <c r="L82" s="28" t="n"/>
      <c r="M82" s="28" t="n"/>
    </row>
    <row r="83" ht="15" customHeight="1" s="19">
      <c r="A83" s="28" t="n"/>
      <c r="B83" s="31" t="n"/>
      <c r="C83" s="28" t="n"/>
      <c r="D83" s="28" t="n"/>
      <c r="E83" s="28" t="n"/>
      <c r="F83" s="28" t="n"/>
      <c r="G83" s="28" t="n"/>
      <c r="H83" s="32">
        <f>IF(A83="","",SUMIFS(Detalle!$D$5:$D$300,Detalle!$A$5:$A$300,A83))</f>
        <v/>
      </c>
      <c r="I83" s="33">
        <f>IF(A83="","",SUMIFS(Detalle!$F$5:$F$300,Detalle!$A$5:$A$300,A83))</f>
        <v/>
      </c>
      <c r="J83" s="34" t="n"/>
      <c r="K83" s="33">
        <f>IF(A83="","",I83+N(J83))</f>
        <v/>
      </c>
      <c r="L83" s="28" t="n"/>
      <c r="M83" s="28" t="n"/>
    </row>
    <row r="84" ht="15" customHeight="1" s="19">
      <c r="A84" s="28" t="n"/>
      <c r="B84" s="31" t="n"/>
      <c r="C84" s="28" t="n"/>
      <c r="D84" s="28" t="n"/>
      <c r="E84" s="28" t="n"/>
      <c r="F84" s="28" t="n"/>
      <c r="G84" s="28" t="n"/>
      <c r="H84" s="32">
        <f>IF(A84="","",SUMIFS(Detalle!$D$5:$D$300,Detalle!$A$5:$A$300,A84))</f>
        <v/>
      </c>
      <c r="I84" s="33">
        <f>IF(A84="","",SUMIFS(Detalle!$F$5:$F$300,Detalle!$A$5:$A$300,A84))</f>
        <v/>
      </c>
      <c r="J84" s="34" t="n"/>
      <c r="K84" s="33">
        <f>IF(A84="","",I84+N(J84))</f>
        <v/>
      </c>
      <c r="L84" s="28" t="n"/>
      <c r="M84" s="28" t="n"/>
    </row>
    <row r="85" ht="15" customHeight="1" s="19">
      <c r="A85" s="28" t="n"/>
      <c r="B85" s="31" t="n"/>
      <c r="C85" s="28" t="n"/>
      <c r="D85" s="28" t="n"/>
      <c r="E85" s="28" t="n"/>
      <c r="F85" s="28" t="n"/>
      <c r="G85" s="28" t="n"/>
      <c r="H85" s="32">
        <f>IF(A85="","",SUMIFS(Detalle!$D$5:$D$300,Detalle!$A$5:$A$300,A85))</f>
        <v/>
      </c>
      <c r="I85" s="33">
        <f>IF(A85="","",SUMIFS(Detalle!$F$5:$F$300,Detalle!$A$5:$A$300,A85))</f>
        <v/>
      </c>
      <c r="J85" s="34" t="n"/>
      <c r="K85" s="33">
        <f>IF(A85="","",I85+N(J85))</f>
        <v/>
      </c>
      <c r="L85" s="28" t="n"/>
      <c r="M85" s="28" t="n"/>
    </row>
    <row r="86" ht="15" customHeight="1" s="19">
      <c r="A86" s="28" t="n"/>
      <c r="B86" s="31" t="n"/>
      <c r="C86" s="28" t="n"/>
      <c r="D86" s="28" t="n"/>
      <c r="E86" s="28" t="n"/>
      <c r="F86" s="28" t="n"/>
      <c r="G86" s="28" t="n"/>
      <c r="H86" s="32">
        <f>IF(A86="","",SUMIFS(Detalle!$D$5:$D$300,Detalle!$A$5:$A$300,A86))</f>
        <v/>
      </c>
      <c r="I86" s="33">
        <f>IF(A86="","",SUMIFS(Detalle!$F$5:$F$300,Detalle!$A$5:$A$300,A86))</f>
        <v/>
      </c>
      <c r="J86" s="34" t="n"/>
      <c r="K86" s="33">
        <f>IF(A86="","",I86+N(J86))</f>
        <v/>
      </c>
      <c r="L86" s="28" t="n"/>
      <c r="M86" s="28" t="n"/>
    </row>
    <row r="87" ht="15" customHeight="1" s="19">
      <c r="A87" s="28" t="n"/>
      <c r="B87" s="31" t="n"/>
      <c r="C87" s="28" t="n"/>
      <c r="D87" s="28" t="n"/>
      <c r="E87" s="28" t="n"/>
      <c r="F87" s="28" t="n"/>
      <c r="G87" s="28" t="n"/>
      <c r="H87" s="32">
        <f>IF(A87="","",SUMIFS(Detalle!$D$5:$D$300,Detalle!$A$5:$A$300,A87))</f>
        <v/>
      </c>
      <c r="I87" s="33">
        <f>IF(A87="","",SUMIFS(Detalle!$F$5:$F$300,Detalle!$A$5:$A$300,A87))</f>
        <v/>
      </c>
      <c r="J87" s="34" t="n"/>
      <c r="K87" s="33">
        <f>IF(A87="","",I87+N(J87))</f>
        <v/>
      </c>
      <c r="L87" s="28" t="n"/>
      <c r="M87" s="28" t="n"/>
    </row>
    <row r="88" ht="15" customHeight="1" s="19">
      <c r="A88" s="28" t="n"/>
      <c r="B88" s="31" t="n"/>
      <c r="C88" s="28" t="n"/>
      <c r="D88" s="28" t="n"/>
      <c r="E88" s="28" t="n"/>
      <c r="F88" s="28" t="n"/>
      <c r="G88" s="28" t="n"/>
      <c r="H88" s="32">
        <f>IF(A88="","",SUMIFS(Detalle!$D$5:$D$300,Detalle!$A$5:$A$300,A88))</f>
        <v/>
      </c>
      <c r="I88" s="33">
        <f>IF(A88="","",SUMIFS(Detalle!$F$5:$F$300,Detalle!$A$5:$A$300,A88))</f>
        <v/>
      </c>
      <c r="J88" s="34" t="n"/>
      <c r="K88" s="33">
        <f>IF(A88="","",I88+N(J88))</f>
        <v/>
      </c>
      <c r="L88" s="28" t="n"/>
      <c r="M88" s="28" t="n"/>
    </row>
    <row r="89" ht="15" customHeight="1" s="19">
      <c r="A89" s="28" t="n"/>
      <c r="B89" s="31" t="n"/>
      <c r="C89" s="28" t="n"/>
      <c r="D89" s="28" t="n"/>
      <c r="E89" s="28" t="n"/>
      <c r="F89" s="28" t="n"/>
      <c r="G89" s="28" t="n"/>
      <c r="H89" s="32">
        <f>IF(A89="","",SUMIFS(Detalle!$D$5:$D$300,Detalle!$A$5:$A$300,A89))</f>
        <v/>
      </c>
      <c r="I89" s="33">
        <f>IF(A89="","",SUMIFS(Detalle!$F$5:$F$300,Detalle!$A$5:$A$300,A89))</f>
        <v/>
      </c>
      <c r="J89" s="34" t="n"/>
      <c r="K89" s="33">
        <f>IF(A89="","",I89+N(J89))</f>
        <v/>
      </c>
      <c r="L89" s="28" t="n"/>
      <c r="M89" s="28" t="n"/>
    </row>
    <row r="90" ht="15" customHeight="1" s="19">
      <c r="A90" s="28" t="n"/>
      <c r="B90" s="31" t="n"/>
      <c r="C90" s="28" t="n"/>
      <c r="D90" s="28" t="n"/>
      <c r="E90" s="28" t="n"/>
      <c r="F90" s="28" t="n"/>
      <c r="G90" s="28" t="n"/>
      <c r="H90" s="32">
        <f>IF(A90="","",SUMIFS(Detalle!$D$5:$D$300,Detalle!$A$5:$A$300,A90))</f>
        <v/>
      </c>
      <c r="I90" s="33">
        <f>IF(A90="","",SUMIFS(Detalle!$F$5:$F$300,Detalle!$A$5:$A$300,A90))</f>
        <v/>
      </c>
      <c r="J90" s="34" t="n"/>
      <c r="K90" s="33">
        <f>IF(A90="","",I90+N(J90))</f>
        <v/>
      </c>
      <c r="L90" s="28" t="n"/>
      <c r="M90" s="28" t="n"/>
    </row>
    <row r="91" ht="15" customHeight="1" s="19">
      <c r="A91" s="28" t="n"/>
      <c r="B91" s="31" t="n"/>
      <c r="C91" s="28" t="n"/>
      <c r="D91" s="28" t="n"/>
      <c r="E91" s="28" t="n"/>
      <c r="F91" s="28" t="n"/>
      <c r="G91" s="28" t="n"/>
      <c r="H91" s="32">
        <f>IF(A91="","",SUMIFS(Detalle!$D$5:$D$300,Detalle!$A$5:$A$300,A91))</f>
        <v/>
      </c>
      <c r="I91" s="33">
        <f>IF(A91="","",SUMIFS(Detalle!$F$5:$F$300,Detalle!$A$5:$A$300,A91))</f>
        <v/>
      </c>
      <c r="J91" s="34" t="n"/>
      <c r="K91" s="33">
        <f>IF(A91="","",I91+N(J91))</f>
        <v/>
      </c>
      <c r="L91" s="28" t="n"/>
      <c r="M91" s="28" t="n"/>
    </row>
    <row r="92" ht="15" customHeight="1" s="19">
      <c r="A92" s="28" t="n"/>
      <c r="B92" s="31" t="n"/>
      <c r="C92" s="28" t="n"/>
      <c r="D92" s="28" t="n"/>
      <c r="E92" s="28" t="n"/>
      <c r="F92" s="28" t="n"/>
      <c r="G92" s="28" t="n"/>
      <c r="H92" s="32">
        <f>IF(A92="","",SUMIFS(Detalle!$D$5:$D$300,Detalle!$A$5:$A$300,A92))</f>
        <v/>
      </c>
      <c r="I92" s="33">
        <f>IF(A92="","",SUMIFS(Detalle!$F$5:$F$300,Detalle!$A$5:$A$300,A92))</f>
        <v/>
      </c>
      <c r="J92" s="34" t="n"/>
      <c r="K92" s="33">
        <f>IF(A92="","",I92+N(J92))</f>
        <v/>
      </c>
      <c r="L92" s="28" t="n"/>
      <c r="M92" s="28" t="n"/>
    </row>
    <row r="93" ht="15" customHeight="1" s="19">
      <c r="A93" s="28" t="n"/>
      <c r="B93" s="31" t="n"/>
      <c r="C93" s="28" t="n"/>
      <c r="D93" s="28" t="n"/>
      <c r="E93" s="28" t="n"/>
      <c r="F93" s="28" t="n"/>
      <c r="G93" s="28" t="n"/>
      <c r="H93" s="32">
        <f>IF(A93="","",SUMIFS(Detalle!$D$5:$D$300,Detalle!$A$5:$A$300,A93))</f>
        <v/>
      </c>
      <c r="I93" s="33">
        <f>IF(A93="","",SUMIFS(Detalle!$F$5:$F$300,Detalle!$A$5:$A$300,A93))</f>
        <v/>
      </c>
      <c r="J93" s="34" t="n"/>
      <c r="K93" s="33">
        <f>IF(A93="","",I93+N(J93))</f>
        <v/>
      </c>
      <c r="L93" s="28" t="n"/>
      <c r="M93" s="28" t="n"/>
    </row>
    <row r="94" ht="15" customHeight="1" s="19">
      <c r="A94" s="28" t="n"/>
      <c r="B94" s="31" t="n"/>
      <c r="C94" s="28" t="n"/>
      <c r="D94" s="28" t="n"/>
      <c r="E94" s="28" t="n"/>
      <c r="F94" s="28" t="n"/>
      <c r="G94" s="28" t="n"/>
      <c r="H94" s="32">
        <f>IF(A94="","",SUMIFS(Detalle!$D$5:$D$300,Detalle!$A$5:$A$300,A94))</f>
        <v/>
      </c>
      <c r="I94" s="33">
        <f>IF(A94="","",SUMIFS(Detalle!$F$5:$F$300,Detalle!$A$5:$A$300,A94))</f>
        <v/>
      </c>
      <c r="J94" s="34" t="n"/>
      <c r="K94" s="33">
        <f>IF(A94="","",I94+N(J94))</f>
        <v/>
      </c>
      <c r="L94" s="28" t="n"/>
      <c r="M94" s="28" t="n"/>
    </row>
    <row r="95" ht="15" customHeight="1" s="19">
      <c r="A95" s="28" t="n"/>
      <c r="B95" s="31" t="n"/>
      <c r="C95" s="28" t="n"/>
      <c r="D95" s="28" t="n"/>
      <c r="E95" s="28" t="n"/>
      <c r="F95" s="28" t="n"/>
      <c r="G95" s="28" t="n"/>
      <c r="H95" s="32">
        <f>IF(A95="","",SUMIFS(Detalle!$D$5:$D$300,Detalle!$A$5:$A$300,A95))</f>
        <v/>
      </c>
      <c r="I95" s="33">
        <f>IF(A95="","",SUMIFS(Detalle!$F$5:$F$300,Detalle!$A$5:$A$300,A95))</f>
        <v/>
      </c>
      <c r="J95" s="34" t="n"/>
      <c r="K95" s="33">
        <f>IF(A95="","",I95+N(J95))</f>
        <v/>
      </c>
      <c r="L95" s="28" t="n"/>
      <c r="M95" s="28" t="n"/>
    </row>
    <row r="96" ht="15" customHeight="1" s="19">
      <c r="A96" s="28" t="n"/>
      <c r="B96" s="31" t="n"/>
      <c r="C96" s="28" t="n"/>
      <c r="D96" s="28" t="n"/>
      <c r="E96" s="28" t="n"/>
      <c r="F96" s="28" t="n"/>
      <c r="G96" s="28" t="n"/>
      <c r="H96" s="32">
        <f>IF(A96="","",SUMIFS(Detalle!$D$5:$D$300,Detalle!$A$5:$A$300,A96))</f>
        <v/>
      </c>
      <c r="I96" s="33">
        <f>IF(A96="","",SUMIFS(Detalle!$F$5:$F$300,Detalle!$A$5:$A$300,A96))</f>
        <v/>
      </c>
      <c r="J96" s="34" t="n"/>
      <c r="K96" s="33">
        <f>IF(A96="","",I96+N(J96))</f>
        <v/>
      </c>
      <c r="L96" s="28" t="n"/>
      <c r="M96" s="28" t="n"/>
    </row>
    <row r="97" ht="15" customHeight="1" s="19">
      <c r="A97" s="28" t="n"/>
      <c r="B97" s="31" t="n"/>
      <c r="C97" s="28" t="n"/>
      <c r="D97" s="28" t="n"/>
      <c r="E97" s="28" t="n"/>
      <c r="F97" s="28" t="n"/>
      <c r="G97" s="28" t="n"/>
      <c r="H97" s="32">
        <f>IF(A97="","",SUMIFS(Detalle!$D$5:$D$300,Detalle!$A$5:$A$300,A97))</f>
        <v/>
      </c>
      <c r="I97" s="33">
        <f>IF(A97="","",SUMIFS(Detalle!$F$5:$F$300,Detalle!$A$5:$A$300,A97))</f>
        <v/>
      </c>
      <c r="J97" s="34" t="n"/>
      <c r="K97" s="33">
        <f>IF(A97="","",I97+N(J97))</f>
        <v/>
      </c>
      <c r="L97" s="28" t="n"/>
      <c r="M97" s="28" t="n"/>
    </row>
    <row r="98" ht="15" customHeight="1" s="19">
      <c r="A98" s="28" t="n"/>
      <c r="B98" s="31" t="n"/>
      <c r="C98" s="28" t="n"/>
      <c r="D98" s="28" t="n"/>
      <c r="E98" s="28" t="n"/>
      <c r="F98" s="28" t="n"/>
      <c r="G98" s="28" t="n"/>
      <c r="H98" s="32">
        <f>IF(A98="","",SUMIFS(Detalle!$D$5:$D$300,Detalle!$A$5:$A$300,A98))</f>
        <v/>
      </c>
      <c r="I98" s="33">
        <f>IF(A98="","",SUMIFS(Detalle!$F$5:$F$300,Detalle!$A$5:$A$300,A98))</f>
        <v/>
      </c>
      <c r="J98" s="34" t="n"/>
      <c r="K98" s="33">
        <f>IF(A98="","",I98+N(J98))</f>
        <v/>
      </c>
      <c r="L98" s="28" t="n"/>
      <c r="M98" s="28" t="n"/>
    </row>
    <row r="99" ht="15" customHeight="1" s="19">
      <c r="A99" s="28" t="n"/>
      <c r="B99" s="31" t="n"/>
      <c r="C99" s="28" t="n"/>
      <c r="D99" s="28" t="n"/>
      <c r="E99" s="28" t="n"/>
      <c r="F99" s="28" t="n"/>
      <c r="G99" s="28" t="n"/>
      <c r="H99" s="32">
        <f>IF(A99="","",SUMIFS(Detalle!$D$5:$D$300,Detalle!$A$5:$A$300,A99))</f>
        <v/>
      </c>
      <c r="I99" s="33">
        <f>IF(A99="","",SUMIFS(Detalle!$F$5:$F$300,Detalle!$A$5:$A$300,A99))</f>
        <v/>
      </c>
      <c r="J99" s="34" t="n"/>
      <c r="K99" s="33">
        <f>IF(A99="","",I99+N(J99))</f>
        <v/>
      </c>
      <c r="L99" s="28" t="n"/>
      <c r="M99" s="28" t="n"/>
    </row>
    <row r="100" ht="15" customHeight="1" s="19">
      <c r="A100" s="28" t="n"/>
      <c r="B100" s="31" t="n"/>
      <c r="C100" s="28" t="n"/>
      <c r="D100" s="28" t="n"/>
      <c r="E100" s="28" t="n"/>
      <c r="F100" s="28" t="n"/>
      <c r="G100" s="28" t="n"/>
      <c r="H100" s="32">
        <f>IF(A100="","",SUMIFS(Detalle!$D$5:$D$300,Detalle!$A$5:$A$300,A100))</f>
        <v/>
      </c>
      <c r="I100" s="33">
        <f>IF(A100="","",SUMIFS(Detalle!$F$5:$F$300,Detalle!$A$5:$A$300,A100))</f>
        <v/>
      </c>
      <c r="J100" s="34" t="n"/>
      <c r="K100" s="33">
        <f>IF(A100="","",I100+N(J100))</f>
        <v/>
      </c>
      <c r="L100" s="28" t="n"/>
      <c r="M100" s="28" t="n"/>
    </row>
    <row r="101" ht="15" customHeight="1" s="19">
      <c r="A101" s="28" t="n"/>
      <c r="B101" s="31" t="n"/>
      <c r="C101" s="28" t="n"/>
      <c r="D101" s="28" t="n"/>
      <c r="E101" s="28" t="n"/>
      <c r="F101" s="28" t="n"/>
      <c r="G101" s="28" t="n"/>
      <c r="H101" s="32">
        <f>IF(A101="","",SUMIFS(Detalle!$D$5:$D$300,Detalle!$A$5:$A$300,A101))</f>
        <v/>
      </c>
      <c r="I101" s="33">
        <f>IF(A101="","",SUMIFS(Detalle!$F$5:$F$300,Detalle!$A$5:$A$300,A101))</f>
        <v/>
      </c>
      <c r="J101" s="34" t="n"/>
      <c r="K101" s="33">
        <f>IF(A101="","",I101+N(J101))</f>
        <v/>
      </c>
      <c r="L101" s="28" t="n"/>
      <c r="M101" s="28" t="n"/>
    </row>
    <row r="102" ht="15" customHeight="1" s="19">
      <c r="A102" s="28" t="n"/>
      <c r="B102" s="31" t="n"/>
      <c r="C102" s="28" t="n"/>
      <c r="D102" s="28" t="n"/>
      <c r="E102" s="28" t="n"/>
      <c r="F102" s="28" t="n"/>
      <c r="G102" s="28" t="n"/>
      <c r="H102" s="32">
        <f>IF(A102="","",SUMIFS(Detalle!$D$5:$D$300,Detalle!$A$5:$A$300,A102))</f>
        <v/>
      </c>
      <c r="I102" s="33">
        <f>IF(A102="","",SUMIFS(Detalle!$F$5:$F$300,Detalle!$A$5:$A$300,A102))</f>
        <v/>
      </c>
      <c r="J102" s="34" t="n"/>
      <c r="K102" s="33">
        <f>IF(A102="","",I102+N(J102))</f>
        <v/>
      </c>
      <c r="L102" s="28" t="n"/>
      <c r="M102" s="28" t="n"/>
    </row>
    <row r="103" ht="15" customHeight="1" s="19">
      <c r="A103" s="28" t="n"/>
      <c r="B103" s="31" t="n"/>
      <c r="C103" s="28" t="n"/>
      <c r="D103" s="28" t="n"/>
      <c r="E103" s="28" t="n"/>
      <c r="F103" s="28" t="n"/>
      <c r="G103" s="28" t="n"/>
      <c r="H103" s="32">
        <f>IF(A103="","",SUMIFS(Detalle!$D$5:$D$300,Detalle!$A$5:$A$300,A103))</f>
        <v/>
      </c>
      <c r="I103" s="33">
        <f>IF(A103="","",SUMIFS(Detalle!$F$5:$F$300,Detalle!$A$5:$A$300,A103))</f>
        <v/>
      </c>
      <c r="J103" s="34" t="n"/>
      <c r="K103" s="33">
        <f>IF(A103="","",I103+N(J103))</f>
        <v/>
      </c>
      <c r="L103" s="28" t="n"/>
      <c r="M103" s="28" t="n"/>
    </row>
    <row r="104" ht="15" customHeight="1" s="19">
      <c r="A104" s="28" t="n"/>
      <c r="B104" s="31" t="n"/>
      <c r="C104" s="28" t="n"/>
      <c r="D104" s="28" t="n"/>
      <c r="E104" s="28" t="n"/>
      <c r="F104" s="28" t="n"/>
      <c r="G104" s="28" t="n"/>
      <c r="H104" s="32">
        <f>IF(A104="","",SUMIFS(Detalle!$D$5:$D$300,Detalle!$A$5:$A$300,A104))</f>
        <v/>
      </c>
      <c r="I104" s="33">
        <f>IF(A104="","",SUMIFS(Detalle!$F$5:$F$300,Detalle!$A$5:$A$300,A104))</f>
        <v/>
      </c>
      <c r="J104" s="34" t="n"/>
      <c r="K104" s="33">
        <f>IF(A104="","",I104+N(J104))</f>
        <v/>
      </c>
      <c r="L104" s="28" t="n"/>
      <c r="M104" s="28" t="n"/>
    </row>
    <row r="105" ht="15" customHeight="1" s="19">
      <c r="A105" s="28" t="n"/>
      <c r="B105" s="31" t="n"/>
      <c r="C105" s="28" t="n"/>
      <c r="D105" s="28" t="n"/>
      <c r="E105" s="28" t="n"/>
      <c r="F105" s="28" t="n"/>
      <c r="G105" s="28" t="n"/>
      <c r="H105" s="32">
        <f>IF(A105="","",SUMIFS(Detalle!$D$5:$D$300,Detalle!$A$5:$A$300,A105))</f>
        <v/>
      </c>
      <c r="I105" s="33">
        <f>IF(A105="","",SUMIFS(Detalle!$F$5:$F$300,Detalle!$A$5:$A$300,A105))</f>
        <v/>
      </c>
      <c r="J105" s="34" t="n"/>
      <c r="K105" s="33">
        <f>IF(A105="","",I105+N(J105))</f>
        <v/>
      </c>
      <c r="L105" s="28" t="n"/>
      <c r="M105" s="28" t="n"/>
    </row>
    <row r="106" ht="15" customHeight="1" s="19">
      <c r="A106" s="28" t="n"/>
      <c r="B106" s="31" t="n"/>
      <c r="C106" s="28" t="n"/>
      <c r="D106" s="28" t="n"/>
      <c r="E106" s="28" t="n"/>
      <c r="F106" s="28" t="n"/>
      <c r="G106" s="28" t="n"/>
      <c r="H106" s="32">
        <f>IF(A106="","",SUMIFS(Detalle!$D$5:$D$300,Detalle!$A$5:$A$300,A106))</f>
        <v/>
      </c>
      <c r="I106" s="33">
        <f>IF(A106="","",SUMIFS(Detalle!$F$5:$F$300,Detalle!$A$5:$A$300,A106))</f>
        <v/>
      </c>
      <c r="J106" s="34" t="n"/>
      <c r="K106" s="33">
        <f>IF(A106="","",I106+N(J106))</f>
        <v/>
      </c>
      <c r="L106" s="28" t="n"/>
      <c r="M106" s="28" t="n"/>
    </row>
    <row r="107" ht="15" customHeight="1" s="19">
      <c r="A107" s="28" t="n"/>
      <c r="B107" s="31" t="n"/>
      <c r="C107" s="28" t="n"/>
      <c r="D107" s="28" t="n"/>
      <c r="E107" s="28" t="n"/>
      <c r="F107" s="28" t="n"/>
      <c r="G107" s="28" t="n"/>
      <c r="H107" s="32">
        <f>IF(A107="","",SUMIFS(Detalle!$D$5:$D$300,Detalle!$A$5:$A$300,A107))</f>
        <v/>
      </c>
      <c r="I107" s="33">
        <f>IF(A107="","",SUMIFS(Detalle!$F$5:$F$300,Detalle!$A$5:$A$300,A107))</f>
        <v/>
      </c>
      <c r="J107" s="34" t="n"/>
      <c r="K107" s="33">
        <f>IF(A107="","",I107+N(J107))</f>
        <v/>
      </c>
      <c r="L107" s="28" t="n"/>
      <c r="M107" s="28" t="n"/>
    </row>
    <row r="108" ht="15" customHeight="1" s="19">
      <c r="A108" s="28" t="n"/>
      <c r="B108" s="31" t="n"/>
      <c r="C108" s="28" t="n"/>
      <c r="D108" s="28" t="n"/>
      <c r="E108" s="28" t="n"/>
      <c r="F108" s="28" t="n"/>
      <c r="G108" s="28" t="n"/>
      <c r="H108" s="32">
        <f>IF(A108="","",SUMIFS(Detalle!$D$5:$D$300,Detalle!$A$5:$A$300,A108))</f>
        <v/>
      </c>
      <c r="I108" s="33">
        <f>IF(A108="","",SUMIFS(Detalle!$F$5:$F$300,Detalle!$A$5:$A$300,A108))</f>
        <v/>
      </c>
      <c r="J108" s="34" t="n"/>
      <c r="K108" s="33">
        <f>IF(A108="","",I108+N(J108))</f>
        <v/>
      </c>
      <c r="L108" s="28" t="n"/>
      <c r="M108" s="28" t="n"/>
    </row>
    <row r="109" ht="15" customHeight="1" s="19">
      <c r="A109" s="28" t="n"/>
      <c r="B109" s="31" t="n"/>
      <c r="C109" s="28" t="n"/>
      <c r="D109" s="28" t="n"/>
      <c r="E109" s="28" t="n"/>
      <c r="F109" s="28" t="n"/>
      <c r="G109" s="28" t="n"/>
      <c r="H109" s="32">
        <f>IF(A109="","",SUMIFS(Detalle!$D$5:$D$300,Detalle!$A$5:$A$300,A109))</f>
        <v/>
      </c>
      <c r="I109" s="33">
        <f>IF(A109="","",SUMIFS(Detalle!$F$5:$F$300,Detalle!$A$5:$A$300,A109))</f>
        <v/>
      </c>
      <c r="J109" s="34" t="n"/>
      <c r="K109" s="33">
        <f>IF(A109="","",I109+N(J109))</f>
        <v/>
      </c>
      <c r="L109" s="28" t="n"/>
      <c r="M109" s="28" t="n"/>
    </row>
    <row r="110" ht="15" customHeight="1" s="19">
      <c r="A110" s="28" t="n"/>
      <c r="B110" s="31" t="n"/>
      <c r="C110" s="28" t="n"/>
      <c r="D110" s="28" t="n"/>
      <c r="E110" s="28" t="n"/>
      <c r="F110" s="28" t="n"/>
      <c r="G110" s="28" t="n"/>
      <c r="H110" s="32">
        <f>IF(A110="","",SUMIFS(Detalle!$D$5:$D$300,Detalle!$A$5:$A$300,A110))</f>
        <v/>
      </c>
      <c r="I110" s="33">
        <f>IF(A110="","",SUMIFS(Detalle!$F$5:$F$300,Detalle!$A$5:$A$300,A110))</f>
        <v/>
      </c>
      <c r="J110" s="34" t="n"/>
      <c r="K110" s="33">
        <f>IF(A110="","",I110+N(J110))</f>
        <v/>
      </c>
      <c r="L110" s="28" t="n"/>
      <c r="M110" s="28" t="n"/>
    </row>
    <row r="111" ht="15" customHeight="1" s="19">
      <c r="A111" s="28" t="n"/>
      <c r="B111" s="31" t="n"/>
      <c r="C111" s="28" t="n"/>
      <c r="D111" s="28" t="n"/>
      <c r="E111" s="28" t="n"/>
      <c r="F111" s="28" t="n"/>
      <c r="G111" s="28" t="n"/>
      <c r="H111" s="32">
        <f>IF(A111="","",SUMIFS(Detalle!$D$5:$D$300,Detalle!$A$5:$A$300,A111))</f>
        <v/>
      </c>
      <c r="I111" s="33">
        <f>IF(A111="","",SUMIFS(Detalle!$F$5:$F$300,Detalle!$A$5:$A$300,A111))</f>
        <v/>
      </c>
      <c r="J111" s="34" t="n"/>
      <c r="K111" s="33">
        <f>IF(A111="","",I111+N(J111))</f>
        <v/>
      </c>
      <c r="L111" s="28" t="n"/>
      <c r="M111" s="28" t="n"/>
    </row>
    <row r="112" ht="15" customHeight="1" s="19">
      <c r="A112" s="28" t="n"/>
      <c r="B112" s="31" t="n"/>
      <c r="C112" s="28" t="n"/>
      <c r="D112" s="28" t="n"/>
      <c r="E112" s="28" t="n"/>
      <c r="F112" s="28" t="n"/>
      <c r="G112" s="28" t="n"/>
      <c r="H112" s="32">
        <f>IF(A112="","",SUMIFS(Detalle!$D$5:$D$300,Detalle!$A$5:$A$300,A112))</f>
        <v/>
      </c>
      <c r="I112" s="33">
        <f>IF(A112="","",SUMIFS(Detalle!$F$5:$F$300,Detalle!$A$5:$A$300,A112))</f>
        <v/>
      </c>
      <c r="J112" s="34" t="n"/>
      <c r="K112" s="33">
        <f>IF(A112="","",I112+N(J112))</f>
        <v/>
      </c>
      <c r="L112" s="28" t="n"/>
      <c r="M112" s="28" t="n"/>
    </row>
    <row r="113" ht="15" customHeight="1" s="19">
      <c r="A113" s="28" t="n"/>
      <c r="B113" s="31" t="n"/>
      <c r="C113" s="28" t="n"/>
      <c r="D113" s="28" t="n"/>
      <c r="E113" s="28" t="n"/>
      <c r="F113" s="28" t="n"/>
      <c r="G113" s="28" t="n"/>
      <c r="H113" s="32">
        <f>IF(A113="","",SUMIFS(Detalle!$D$5:$D$300,Detalle!$A$5:$A$300,A113))</f>
        <v/>
      </c>
      <c r="I113" s="33">
        <f>IF(A113="","",SUMIFS(Detalle!$F$5:$F$300,Detalle!$A$5:$A$300,A113))</f>
        <v/>
      </c>
      <c r="J113" s="34" t="n"/>
      <c r="K113" s="33">
        <f>IF(A113="","",I113+N(J113))</f>
        <v/>
      </c>
      <c r="L113" s="28" t="n"/>
      <c r="M113" s="28" t="n"/>
    </row>
    <row r="114" ht="15" customHeight="1" s="19">
      <c r="A114" s="28" t="n"/>
      <c r="B114" s="31" t="n"/>
      <c r="C114" s="28" t="n"/>
      <c r="D114" s="28" t="n"/>
      <c r="E114" s="28" t="n"/>
      <c r="F114" s="28" t="n"/>
      <c r="G114" s="28" t="n"/>
      <c r="H114" s="32">
        <f>IF(A114="","",SUMIFS(Detalle!$D$5:$D$300,Detalle!$A$5:$A$300,A114))</f>
        <v/>
      </c>
      <c r="I114" s="33">
        <f>IF(A114="","",SUMIFS(Detalle!$F$5:$F$300,Detalle!$A$5:$A$300,A114))</f>
        <v/>
      </c>
      <c r="J114" s="34" t="n"/>
      <c r="K114" s="33">
        <f>IF(A114="","",I114+N(J114))</f>
        <v/>
      </c>
      <c r="L114" s="28" t="n"/>
      <c r="M114" s="28" t="n"/>
    </row>
    <row r="115" ht="15" customHeight="1" s="19">
      <c r="A115" s="28" t="n"/>
      <c r="B115" s="31" t="n"/>
      <c r="C115" s="28" t="n"/>
      <c r="D115" s="28" t="n"/>
      <c r="E115" s="28" t="n"/>
      <c r="F115" s="28" t="n"/>
      <c r="G115" s="28" t="n"/>
      <c r="H115" s="32">
        <f>IF(A115="","",SUMIFS(Detalle!$D$5:$D$300,Detalle!$A$5:$A$300,A115))</f>
        <v/>
      </c>
      <c r="I115" s="33">
        <f>IF(A115="","",SUMIFS(Detalle!$F$5:$F$300,Detalle!$A$5:$A$300,A115))</f>
        <v/>
      </c>
      <c r="J115" s="34" t="n"/>
      <c r="K115" s="33">
        <f>IF(A115="","",I115+N(J115))</f>
        <v/>
      </c>
      <c r="L115" s="28" t="n"/>
      <c r="M115" s="28" t="n"/>
    </row>
    <row r="116" ht="15" customHeight="1" s="19">
      <c r="A116" s="28" t="n"/>
      <c r="B116" s="31" t="n"/>
      <c r="C116" s="28" t="n"/>
      <c r="D116" s="28" t="n"/>
      <c r="E116" s="28" t="n"/>
      <c r="F116" s="28" t="n"/>
      <c r="G116" s="28" t="n"/>
      <c r="H116" s="32">
        <f>IF(A116="","",SUMIFS(Detalle!$D$5:$D$300,Detalle!$A$5:$A$300,A116))</f>
        <v/>
      </c>
      <c r="I116" s="33">
        <f>IF(A116="","",SUMIFS(Detalle!$F$5:$F$300,Detalle!$A$5:$A$300,A116))</f>
        <v/>
      </c>
      <c r="J116" s="34" t="n"/>
      <c r="K116" s="33">
        <f>IF(A116="","",I116+N(J116))</f>
        <v/>
      </c>
      <c r="L116" s="28" t="n"/>
      <c r="M116" s="28" t="n"/>
    </row>
    <row r="117" ht="15" customHeight="1" s="19">
      <c r="A117" s="28" t="n"/>
      <c r="B117" s="31" t="n"/>
      <c r="C117" s="28" t="n"/>
      <c r="D117" s="28" t="n"/>
      <c r="E117" s="28" t="n"/>
      <c r="F117" s="28" t="n"/>
      <c r="G117" s="28" t="n"/>
      <c r="H117" s="32">
        <f>IF(A117="","",SUMIFS(Detalle!$D$5:$D$300,Detalle!$A$5:$A$300,A117))</f>
        <v/>
      </c>
      <c r="I117" s="33">
        <f>IF(A117="","",SUMIFS(Detalle!$F$5:$F$300,Detalle!$A$5:$A$300,A117))</f>
        <v/>
      </c>
      <c r="J117" s="34" t="n"/>
      <c r="K117" s="33">
        <f>IF(A117="","",I117+N(J117))</f>
        <v/>
      </c>
      <c r="L117" s="28" t="n"/>
      <c r="M117" s="28" t="n"/>
    </row>
    <row r="118" ht="15" customHeight="1" s="19">
      <c r="A118" s="28" t="n"/>
      <c r="B118" s="31" t="n"/>
      <c r="C118" s="28" t="n"/>
      <c r="D118" s="28" t="n"/>
      <c r="E118" s="28" t="n"/>
      <c r="F118" s="28" t="n"/>
      <c r="G118" s="28" t="n"/>
      <c r="H118" s="32">
        <f>IF(A118="","",SUMIFS(Detalle!$D$5:$D$300,Detalle!$A$5:$A$300,A118))</f>
        <v/>
      </c>
      <c r="I118" s="33">
        <f>IF(A118="","",SUMIFS(Detalle!$F$5:$F$300,Detalle!$A$5:$A$300,A118))</f>
        <v/>
      </c>
      <c r="J118" s="34" t="n"/>
      <c r="K118" s="33">
        <f>IF(A118="","",I118+N(J118))</f>
        <v/>
      </c>
      <c r="L118" s="28" t="n"/>
      <c r="M118" s="28" t="n"/>
    </row>
    <row r="119" ht="15" customHeight="1" s="19">
      <c r="A119" s="28" t="n"/>
      <c r="B119" s="31" t="n"/>
      <c r="C119" s="28" t="n"/>
      <c r="D119" s="28" t="n"/>
      <c r="E119" s="28" t="n"/>
      <c r="F119" s="28" t="n"/>
      <c r="G119" s="28" t="n"/>
      <c r="H119" s="32">
        <f>IF(A119="","",SUMIFS(Detalle!$D$5:$D$300,Detalle!$A$5:$A$300,A119))</f>
        <v/>
      </c>
      <c r="I119" s="33">
        <f>IF(A119="","",SUMIFS(Detalle!$F$5:$F$300,Detalle!$A$5:$A$300,A119))</f>
        <v/>
      </c>
      <c r="J119" s="34" t="n"/>
      <c r="K119" s="33">
        <f>IF(A119="","",I119+N(J119))</f>
        <v/>
      </c>
      <c r="L119" s="28" t="n"/>
      <c r="M119" s="28" t="n"/>
    </row>
    <row r="120" ht="15" customHeight="1" s="19">
      <c r="A120" s="28" t="n"/>
      <c r="B120" s="31" t="n"/>
      <c r="C120" s="28" t="n"/>
      <c r="D120" s="28" t="n"/>
      <c r="E120" s="28" t="n"/>
      <c r="F120" s="28" t="n"/>
      <c r="G120" s="28" t="n"/>
      <c r="H120" s="32">
        <f>IF(A120="","",SUMIFS(Detalle!$D$5:$D$300,Detalle!$A$5:$A$300,A120))</f>
        <v/>
      </c>
      <c r="I120" s="33">
        <f>IF(A120="","",SUMIFS(Detalle!$F$5:$F$300,Detalle!$A$5:$A$300,A120))</f>
        <v/>
      </c>
      <c r="J120" s="34" t="n"/>
      <c r="K120" s="33">
        <f>IF(A120="","",I120+N(J120))</f>
        <v/>
      </c>
      <c r="L120" s="28" t="n"/>
      <c r="M120" s="28" t="n"/>
    </row>
    <row r="121" ht="15" customHeight="1" s="19">
      <c r="A121" s="28" t="n"/>
      <c r="B121" s="31" t="n"/>
      <c r="C121" s="28" t="n"/>
      <c r="D121" s="28" t="n"/>
      <c r="E121" s="28" t="n"/>
      <c r="F121" s="28" t="n"/>
      <c r="G121" s="28" t="n"/>
      <c r="H121" s="32">
        <f>IF(A121="","",SUMIFS(Detalle!$D$5:$D$300,Detalle!$A$5:$A$300,A121))</f>
        <v/>
      </c>
      <c r="I121" s="33">
        <f>IF(A121="","",SUMIFS(Detalle!$F$5:$F$300,Detalle!$A$5:$A$300,A121))</f>
        <v/>
      </c>
      <c r="J121" s="34" t="n"/>
      <c r="K121" s="33">
        <f>IF(A121="","",I121+N(J121))</f>
        <v/>
      </c>
      <c r="L121" s="28" t="n"/>
      <c r="M121" s="28" t="n"/>
    </row>
    <row r="122" ht="15" customHeight="1" s="19">
      <c r="A122" s="28" t="n"/>
      <c r="B122" s="31" t="n"/>
      <c r="C122" s="28" t="n"/>
      <c r="D122" s="28" t="n"/>
      <c r="E122" s="28" t="n"/>
      <c r="F122" s="28" t="n"/>
      <c r="G122" s="28" t="n"/>
      <c r="H122" s="32">
        <f>IF(A122="","",SUMIFS(Detalle!$D$5:$D$300,Detalle!$A$5:$A$300,A122))</f>
        <v/>
      </c>
      <c r="I122" s="33">
        <f>IF(A122="","",SUMIFS(Detalle!$F$5:$F$300,Detalle!$A$5:$A$300,A122))</f>
        <v/>
      </c>
      <c r="J122" s="34" t="n"/>
      <c r="K122" s="33">
        <f>IF(A122="","",I122+N(J122))</f>
        <v/>
      </c>
      <c r="L122" s="28" t="n"/>
      <c r="M122" s="28" t="n"/>
    </row>
    <row r="123" ht="15" customHeight="1" s="19">
      <c r="A123" s="28" t="n"/>
      <c r="B123" s="31" t="n"/>
      <c r="C123" s="28" t="n"/>
      <c r="D123" s="28" t="n"/>
      <c r="E123" s="28" t="n"/>
      <c r="F123" s="28" t="n"/>
      <c r="G123" s="28" t="n"/>
      <c r="H123" s="32">
        <f>IF(A123="","",SUMIFS(Detalle!$D$5:$D$300,Detalle!$A$5:$A$300,A123))</f>
        <v/>
      </c>
      <c r="I123" s="33">
        <f>IF(A123="","",SUMIFS(Detalle!$F$5:$F$300,Detalle!$A$5:$A$300,A123))</f>
        <v/>
      </c>
      <c r="J123" s="34" t="n"/>
      <c r="K123" s="33">
        <f>IF(A123="","",I123+N(J123))</f>
        <v/>
      </c>
      <c r="L123" s="28" t="n"/>
      <c r="M123" s="28" t="n"/>
    </row>
    <row r="124" ht="15" customHeight="1" s="19">
      <c r="A124" s="28" t="n"/>
      <c r="B124" s="31" t="n"/>
      <c r="C124" s="28" t="n"/>
      <c r="D124" s="28" t="n"/>
      <c r="E124" s="28" t="n"/>
      <c r="F124" s="28" t="n"/>
      <c r="G124" s="28" t="n"/>
      <c r="H124" s="32">
        <f>IF(A124="","",SUMIFS(Detalle!$D$5:$D$300,Detalle!$A$5:$A$300,A124))</f>
        <v/>
      </c>
      <c r="I124" s="33">
        <f>IF(A124="","",SUMIFS(Detalle!$F$5:$F$300,Detalle!$A$5:$A$300,A124))</f>
        <v/>
      </c>
      <c r="J124" s="34" t="n"/>
      <c r="K124" s="33">
        <f>IF(A124="","",I124+N(J124))</f>
        <v/>
      </c>
      <c r="L124" s="28" t="n"/>
      <c r="M124" s="28" t="n"/>
    </row>
    <row r="125" ht="15" customHeight="1" s="19">
      <c r="A125" s="28" t="n"/>
      <c r="B125" s="31" t="n"/>
      <c r="C125" s="28" t="n"/>
      <c r="D125" s="28" t="n"/>
      <c r="E125" s="28" t="n"/>
      <c r="F125" s="28" t="n"/>
      <c r="G125" s="28" t="n"/>
      <c r="H125" s="32">
        <f>IF(A125="","",SUMIFS(Detalle!$D$5:$D$300,Detalle!$A$5:$A$300,A125))</f>
        <v/>
      </c>
      <c r="I125" s="33">
        <f>IF(A125="","",SUMIFS(Detalle!$F$5:$F$300,Detalle!$A$5:$A$300,A125))</f>
        <v/>
      </c>
      <c r="J125" s="34" t="n"/>
      <c r="K125" s="33">
        <f>IF(A125="","",I125+N(J125))</f>
        <v/>
      </c>
      <c r="L125" s="28" t="n"/>
      <c r="M125" s="28" t="n"/>
    </row>
    <row r="126" ht="15" customHeight="1" s="19">
      <c r="A126" s="28" t="n"/>
      <c r="B126" s="31" t="n"/>
      <c r="C126" s="28" t="n"/>
      <c r="D126" s="28" t="n"/>
      <c r="E126" s="28" t="n"/>
      <c r="F126" s="28" t="n"/>
      <c r="G126" s="28" t="n"/>
      <c r="H126" s="32">
        <f>IF(A126="","",SUMIFS(Detalle!$D$5:$D$300,Detalle!$A$5:$A$300,A126))</f>
        <v/>
      </c>
      <c r="I126" s="33">
        <f>IF(A126="","",SUMIFS(Detalle!$F$5:$F$300,Detalle!$A$5:$A$300,A126))</f>
        <v/>
      </c>
      <c r="J126" s="34" t="n"/>
      <c r="K126" s="33">
        <f>IF(A126="","",I126+N(J126))</f>
        <v/>
      </c>
      <c r="L126" s="28" t="n"/>
      <c r="M126" s="28" t="n"/>
    </row>
    <row r="127" ht="15" customHeight="1" s="19">
      <c r="A127" s="28" t="n"/>
      <c r="B127" s="31" t="n"/>
      <c r="C127" s="28" t="n"/>
      <c r="D127" s="28" t="n"/>
      <c r="E127" s="28" t="n"/>
      <c r="F127" s="28" t="n"/>
      <c r="G127" s="28" t="n"/>
      <c r="H127" s="32">
        <f>IF(A127="","",SUMIFS(Detalle!$D$5:$D$300,Detalle!$A$5:$A$300,A127))</f>
        <v/>
      </c>
      <c r="I127" s="33">
        <f>IF(A127="","",SUMIFS(Detalle!$F$5:$F$300,Detalle!$A$5:$A$300,A127))</f>
        <v/>
      </c>
      <c r="J127" s="34" t="n"/>
      <c r="K127" s="33">
        <f>IF(A127="","",I127+N(J127))</f>
        <v/>
      </c>
      <c r="L127" s="28" t="n"/>
      <c r="M127" s="28" t="n"/>
    </row>
    <row r="128" ht="15" customHeight="1" s="19">
      <c r="A128" s="28" t="n"/>
      <c r="B128" s="31" t="n"/>
      <c r="C128" s="28" t="n"/>
      <c r="D128" s="28" t="n"/>
      <c r="E128" s="28" t="n"/>
      <c r="F128" s="28" t="n"/>
      <c r="G128" s="28" t="n"/>
      <c r="H128" s="32">
        <f>IF(A128="","",SUMIFS(Detalle!$D$5:$D$300,Detalle!$A$5:$A$300,A128))</f>
        <v/>
      </c>
      <c r="I128" s="33">
        <f>IF(A128="","",SUMIFS(Detalle!$F$5:$F$300,Detalle!$A$5:$A$300,A128))</f>
        <v/>
      </c>
      <c r="J128" s="34" t="n"/>
      <c r="K128" s="33">
        <f>IF(A128="","",I128+N(J128))</f>
        <v/>
      </c>
      <c r="L128" s="28" t="n"/>
      <c r="M128" s="28" t="n"/>
    </row>
    <row r="129" ht="15" customHeight="1" s="19">
      <c r="A129" s="28" t="n"/>
      <c r="B129" s="31" t="n"/>
      <c r="C129" s="28" t="n"/>
      <c r="D129" s="28" t="n"/>
      <c r="E129" s="28" t="n"/>
      <c r="F129" s="28" t="n"/>
      <c r="G129" s="28" t="n"/>
      <c r="H129" s="32">
        <f>IF(A129="","",SUMIFS(Detalle!$D$5:$D$300,Detalle!$A$5:$A$300,A129))</f>
        <v/>
      </c>
      <c r="I129" s="33">
        <f>IF(A129="","",SUMIFS(Detalle!$F$5:$F$300,Detalle!$A$5:$A$300,A129))</f>
        <v/>
      </c>
      <c r="J129" s="34" t="n"/>
      <c r="K129" s="33">
        <f>IF(A129="","",I129+N(J129))</f>
        <v/>
      </c>
      <c r="L129" s="28" t="n"/>
      <c r="M129" s="28" t="n"/>
    </row>
    <row r="130" ht="15" customHeight="1" s="19">
      <c r="A130" s="28" t="n"/>
      <c r="B130" s="31" t="n"/>
      <c r="C130" s="28" t="n"/>
      <c r="D130" s="28" t="n"/>
      <c r="E130" s="28" t="n"/>
      <c r="F130" s="28" t="n"/>
      <c r="G130" s="28" t="n"/>
      <c r="H130" s="32">
        <f>IF(A130="","",SUMIFS(Detalle!$D$5:$D$300,Detalle!$A$5:$A$300,A130))</f>
        <v/>
      </c>
      <c r="I130" s="33">
        <f>IF(A130="","",SUMIFS(Detalle!$F$5:$F$300,Detalle!$A$5:$A$300,A130))</f>
        <v/>
      </c>
      <c r="J130" s="34" t="n"/>
      <c r="K130" s="33">
        <f>IF(A130="","",I130+N(J130))</f>
        <v/>
      </c>
      <c r="L130" s="28" t="n"/>
      <c r="M130" s="28" t="n"/>
    </row>
    <row r="131" ht="15" customHeight="1" s="19">
      <c r="A131" s="28" t="n"/>
      <c r="B131" s="31" t="n"/>
      <c r="C131" s="28" t="n"/>
      <c r="D131" s="28" t="n"/>
      <c r="E131" s="28" t="n"/>
      <c r="F131" s="28" t="n"/>
      <c r="G131" s="28" t="n"/>
      <c r="H131" s="32">
        <f>IF(A131="","",SUMIFS(Detalle!$D$5:$D$300,Detalle!$A$5:$A$300,A131))</f>
        <v/>
      </c>
      <c r="I131" s="33">
        <f>IF(A131="","",SUMIFS(Detalle!$F$5:$F$300,Detalle!$A$5:$A$300,A131))</f>
        <v/>
      </c>
      <c r="J131" s="34" t="n"/>
      <c r="K131" s="33">
        <f>IF(A131="","",I131+N(J131))</f>
        <v/>
      </c>
      <c r="L131" s="28" t="n"/>
      <c r="M131" s="28" t="n"/>
    </row>
    <row r="132" ht="15" customHeight="1" s="19">
      <c r="A132" s="28" t="n"/>
      <c r="B132" s="31" t="n"/>
      <c r="C132" s="28" t="n"/>
      <c r="D132" s="28" t="n"/>
      <c r="E132" s="28" t="n"/>
      <c r="F132" s="28" t="n"/>
      <c r="G132" s="28" t="n"/>
      <c r="H132" s="32">
        <f>IF(A132="","",SUMIFS(Detalle!$D$5:$D$300,Detalle!$A$5:$A$300,A132))</f>
        <v/>
      </c>
      <c r="I132" s="33">
        <f>IF(A132="","",SUMIFS(Detalle!$F$5:$F$300,Detalle!$A$5:$A$300,A132))</f>
        <v/>
      </c>
      <c r="J132" s="34" t="n"/>
      <c r="K132" s="33">
        <f>IF(A132="","",I132+N(J132))</f>
        <v/>
      </c>
      <c r="L132" s="28" t="n"/>
      <c r="M132" s="28" t="n"/>
    </row>
    <row r="133" ht="15" customHeight="1" s="19">
      <c r="A133" s="28" t="n"/>
      <c r="B133" s="31" t="n"/>
      <c r="C133" s="28" t="n"/>
      <c r="D133" s="28" t="n"/>
      <c r="E133" s="28" t="n"/>
      <c r="F133" s="28" t="n"/>
      <c r="G133" s="28" t="n"/>
      <c r="H133" s="32">
        <f>IF(A133="","",SUMIFS(Detalle!$D$5:$D$300,Detalle!$A$5:$A$300,A133))</f>
        <v/>
      </c>
      <c r="I133" s="33">
        <f>IF(A133="","",SUMIFS(Detalle!$F$5:$F$300,Detalle!$A$5:$A$300,A133))</f>
        <v/>
      </c>
      <c r="J133" s="34" t="n"/>
      <c r="K133" s="33">
        <f>IF(A133="","",I133+N(J133))</f>
        <v/>
      </c>
      <c r="L133" s="28" t="n"/>
      <c r="M133" s="28" t="n"/>
    </row>
    <row r="134" ht="15" customHeight="1" s="19">
      <c r="A134" s="28" t="n"/>
      <c r="B134" s="31" t="n"/>
      <c r="C134" s="28" t="n"/>
      <c r="D134" s="28" t="n"/>
      <c r="E134" s="28" t="n"/>
      <c r="F134" s="28" t="n"/>
      <c r="G134" s="28" t="n"/>
      <c r="H134" s="32">
        <f>IF(A134="","",SUMIFS(Detalle!$D$5:$D$300,Detalle!$A$5:$A$300,A134))</f>
        <v/>
      </c>
      <c r="I134" s="33">
        <f>IF(A134="","",SUMIFS(Detalle!$F$5:$F$300,Detalle!$A$5:$A$300,A134))</f>
        <v/>
      </c>
      <c r="J134" s="34" t="n"/>
      <c r="K134" s="33">
        <f>IF(A134="","",I134+N(J134))</f>
        <v/>
      </c>
      <c r="L134" s="28" t="n"/>
      <c r="M134" s="28" t="n"/>
    </row>
    <row r="135" ht="15" customHeight="1" s="19">
      <c r="A135" s="28" t="n"/>
      <c r="B135" s="31" t="n"/>
      <c r="C135" s="28" t="n"/>
      <c r="D135" s="28" t="n"/>
      <c r="E135" s="28" t="n"/>
      <c r="F135" s="28" t="n"/>
      <c r="G135" s="28" t="n"/>
      <c r="H135" s="32">
        <f>IF(A135="","",SUMIFS(Detalle!$D$5:$D$300,Detalle!$A$5:$A$300,A135))</f>
        <v/>
      </c>
      <c r="I135" s="33">
        <f>IF(A135="","",SUMIFS(Detalle!$F$5:$F$300,Detalle!$A$5:$A$300,A135))</f>
        <v/>
      </c>
      <c r="J135" s="34" t="n"/>
      <c r="K135" s="33">
        <f>IF(A135="","",I135+N(J135))</f>
        <v/>
      </c>
      <c r="L135" s="28" t="n"/>
      <c r="M135" s="28" t="n"/>
    </row>
    <row r="136" ht="15" customHeight="1" s="19">
      <c r="A136" s="28" t="n"/>
      <c r="B136" s="31" t="n"/>
      <c r="C136" s="28" t="n"/>
      <c r="D136" s="28" t="n"/>
      <c r="E136" s="28" t="n"/>
      <c r="F136" s="28" t="n"/>
      <c r="G136" s="28" t="n"/>
      <c r="H136" s="32">
        <f>IF(A136="","",SUMIFS(Detalle!$D$5:$D$300,Detalle!$A$5:$A$300,A136))</f>
        <v/>
      </c>
      <c r="I136" s="33">
        <f>IF(A136="","",SUMIFS(Detalle!$F$5:$F$300,Detalle!$A$5:$A$300,A136))</f>
        <v/>
      </c>
      <c r="J136" s="34" t="n"/>
      <c r="K136" s="33">
        <f>IF(A136="","",I136+N(J136))</f>
        <v/>
      </c>
      <c r="L136" s="28" t="n"/>
      <c r="M136" s="28" t="n"/>
    </row>
    <row r="137" ht="15" customHeight="1" s="19">
      <c r="A137" s="28" t="n"/>
      <c r="B137" s="31" t="n"/>
      <c r="C137" s="28" t="n"/>
      <c r="D137" s="28" t="n"/>
      <c r="E137" s="28" t="n"/>
      <c r="F137" s="28" t="n"/>
      <c r="G137" s="28" t="n"/>
      <c r="H137" s="32">
        <f>IF(A137="","",SUMIFS(Detalle!$D$5:$D$300,Detalle!$A$5:$A$300,A137))</f>
        <v/>
      </c>
      <c r="I137" s="33">
        <f>IF(A137="","",SUMIFS(Detalle!$F$5:$F$300,Detalle!$A$5:$A$300,A137))</f>
        <v/>
      </c>
      <c r="J137" s="34" t="n"/>
      <c r="K137" s="33">
        <f>IF(A137="","",I137+N(J137))</f>
        <v/>
      </c>
      <c r="L137" s="28" t="n"/>
      <c r="M137" s="28" t="n"/>
    </row>
    <row r="138" ht="15" customHeight="1" s="19">
      <c r="A138" s="28" t="n"/>
      <c r="B138" s="31" t="n"/>
      <c r="C138" s="28" t="n"/>
      <c r="D138" s="28" t="n"/>
      <c r="E138" s="28" t="n"/>
      <c r="F138" s="28" t="n"/>
      <c r="G138" s="28" t="n"/>
      <c r="H138" s="32">
        <f>IF(A138="","",SUMIFS(Detalle!$D$5:$D$300,Detalle!$A$5:$A$300,A138))</f>
        <v/>
      </c>
      <c r="I138" s="33">
        <f>IF(A138="","",SUMIFS(Detalle!$F$5:$F$300,Detalle!$A$5:$A$300,A138))</f>
        <v/>
      </c>
      <c r="J138" s="34" t="n"/>
      <c r="K138" s="33">
        <f>IF(A138="","",I138+N(J138))</f>
        <v/>
      </c>
      <c r="L138" s="28" t="n"/>
      <c r="M138" s="28" t="n"/>
    </row>
    <row r="139" ht="15" customHeight="1" s="19">
      <c r="A139" s="28" t="n"/>
      <c r="B139" s="31" t="n"/>
      <c r="C139" s="28" t="n"/>
      <c r="D139" s="28" t="n"/>
      <c r="E139" s="28" t="n"/>
      <c r="F139" s="28" t="n"/>
      <c r="G139" s="28" t="n"/>
      <c r="H139" s="32">
        <f>IF(A139="","",SUMIFS(Detalle!$D$5:$D$300,Detalle!$A$5:$A$300,A139))</f>
        <v/>
      </c>
      <c r="I139" s="33">
        <f>IF(A139="","",SUMIFS(Detalle!$F$5:$F$300,Detalle!$A$5:$A$300,A139))</f>
        <v/>
      </c>
      <c r="J139" s="34" t="n"/>
      <c r="K139" s="33">
        <f>IF(A139="","",I139+N(J139))</f>
        <v/>
      </c>
      <c r="L139" s="28" t="n"/>
      <c r="M139" s="28" t="n"/>
    </row>
    <row r="140" ht="15" customHeight="1" s="19">
      <c r="A140" s="28" t="n"/>
      <c r="B140" s="31" t="n"/>
      <c r="C140" s="28" t="n"/>
      <c r="D140" s="28" t="n"/>
      <c r="E140" s="28" t="n"/>
      <c r="F140" s="28" t="n"/>
      <c r="G140" s="28" t="n"/>
      <c r="H140" s="32">
        <f>IF(A140="","",SUMIFS(Detalle!$D$5:$D$300,Detalle!$A$5:$A$300,A140))</f>
        <v/>
      </c>
      <c r="I140" s="33">
        <f>IF(A140="","",SUMIFS(Detalle!$F$5:$F$300,Detalle!$A$5:$A$300,A140))</f>
        <v/>
      </c>
      <c r="J140" s="34" t="n"/>
      <c r="K140" s="33">
        <f>IF(A140="","",I140+N(J140))</f>
        <v/>
      </c>
      <c r="L140" s="28" t="n"/>
      <c r="M140" s="28" t="n"/>
    </row>
    <row r="141" ht="15" customHeight="1" s="19">
      <c r="A141" s="28" t="n"/>
      <c r="B141" s="31" t="n"/>
      <c r="C141" s="28" t="n"/>
      <c r="D141" s="28" t="n"/>
      <c r="E141" s="28" t="n"/>
      <c r="F141" s="28" t="n"/>
      <c r="G141" s="28" t="n"/>
      <c r="H141" s="32">
        <f>IF(A141="","",SUMIFS(Detalle!$D$5:$D$300,Detalle!$A$5:$A$300,A141))</f>
        <v/>
      </c>
      <c r="I141" s="33">
        <f>IF(A141="","",SUMIFS(Detalle!$F$5:$F$300,Detalle!$A$5:$A$300,A141))</f>
        <v/>
      </c>
      <c r="J141" s="34" t="n"/>
      <c r="K141" s="33">
        <f>IF(A141="","",I141+N(J141))</f>
        <v/>
      </c>
      <c r="L141" s="28" t="n"/>
      <c r="M141" s="28" t="n"/>
    </row>
    <row r="142" ht="15" customHeight="1" s="19">
      <c r="A142" s="28" t="n"/>
      <c r="B142" s="31" t="n"/>
      <c r="C142" s="28" t="n"/>
      <c r="D142" s="28" t="n"/>
      <c r="E142" s="28" t="n"/>
      <c r="F142" s="28" t="n"/>
      <c r="G142" s="28" t="n"/>
      <c r="H142" s="32">
        <f>IF(A142="","",SUMIFS(Detalle!$D$5:$D$300,Detalle!$A$5:$A$300,A142))</f>
        <v/>
      </c>
      <c r="I142" s="33">
        <f>IF(A142="","",SUMIFS(Detalle!$F$5:$F$300,Detalle!$A$5:$A$300,A142))</f>
        <v/>
      </c>
      <c r="J142" s="34" t="n"/>
      <c r="K142" s="33">
        <f>IF(A142="","",I142+N(J142))</f>
        <v/>
      </c>
      <c r="L142" s="28" t="n"/>
      <c r="M142" s="28" t="n"/>
    </row>
    <row r="143" ht="15" customHeight="1" s="19">
      <c r="A143" s="28" t="n"/>
      <c r="B143" s="31" t="n"/>
      <c r="C143" s="28" t="n"/>
      <c r="D143" s="28" t="n"/>
      <c r="E143" s="28" t="n"/>
      <c r="F143" s="28" t="n"/>
      <c r="G143" s="28" t="n"/>
      <c r="H143" s="32">
        <f>IF(A143="","",SUMIFS(Detalle!$D$5:$D$300,Detalle!$A$5:$A$300,A143))</f>
        <v/>
      </c>
      <c r="I143" s="33">
        <f>IF(A143="","",SUMIFS(Detalle!$F$5:$F$300,Detalle!$A$5:$A$300,A143))</f>
        <v/>
      </c>
      <c r="J143" s="34" t="n"/>
      <c r="K143" s="33">
        <f>IF(A143="","",I143+N(J143))</f>
        <v/>
      </c>
      <c r="L143" s="28" t="n"/>
      <c r="M143" s="28" t="n"/>
    </row>
    <row r="144" ht="15" customHeight="1" s="19">
      <c r="A144" s="28" t="n"/>
      <c r="B144" s="31" t="n"/>
      <c r="C144" s="28" t="n"/>
      <c r="D144" s="28" t="n"/>
      <c r="E144" s="28" t="n"/>
      <c r="F144" s="28" t="n"/>
      <c r="G144" s="28" t="n"/>
      <c r="H144" s="32">
        <f>IF(A144="","",SUMIFS(Detalle!$D$5:$D$300,Detalle!$A$5:$A$300,A144))</f>
        <v/>
      </c>
      <c r="I144" s="33">
        <f>IF(A144="","",SUMIFS(Detalle!$F$5:$F$300,Detalle!$A$5:$A$300,A144))</f>
        <v/>
      </c>
      <c r="J144" s="34" t="n"/>
      <c r="K144" s="33">
        <f>IF(A144="","",I144+N(J144))</f>
        <v/>
      </c>
      <c r="L144" s="28" t="n"/>
      <c r="M144" s="28" t="n"/>
    </row>
    <row r="145" ht="15" customHeight="1" s="19">
      <c r="A145" s="28" t="n"/>
      <c r="B145" s="31" t="n"/>
      <c r="C145" s="28" t="n"/>
      <c r="D145" s="28" t="n"/>
      <c r="E145" s="28" t="n"/>
      <c r="F145" s="28" t="n"/>
      <c r="G145" s="28" t="n"/>
      <c r="H145" s="32">
        <f>IF(A145="","",SUMIFS(Detalle!$D$5:$D$300,Detalle!$A$5:$A$300,A145))</f>
        <v/>
      </c>
      <c r="I145" s="33">
        <f>IF(A145="","",SUMIFS(Detalle!$F$5:$F$300,Detalle!$A$5:$A$300,A145))</f>
        <v/>
      </c>
      <c r="J145" s="34" t="n"/>
      <c r="K145" s="33">
        <f>IF(A145="","",I145+N(J145))</f>
        <v/>
      </c>
      <c r="L145" s="28" t="n"/>
      <c r="M145" s="28" t="n"/>
    </row>
    <row r="146" ht="15" customHeight="1" s="19">
      <c r="A146" s="28" t="n"/>
      <c r="B146" s="31" t="n"/>
      <c r="C146" s="28" t="n"/>
      <c r="D146" s="28" t="n"/>
      <c r="E146" s="28" t="n"/>
      <c r="F146" s="28" t="n"/>
      <c r="G146" s="28" t="n"/>
      <c r="H146" s="32">
        <f>IF(A146="","",SUMIFS(Detalle!$D$5:$D$300,Detalle!$A$5:$A$300,A146))</f>
        <v/>
      </c>
      <c r="I146" s="33">
        <f>IF(A146="","",SUMIFS(Detalle!$F$5:$F$300,Detalle!$A$5:$A$300,A146))</f>
        <v/>
      </c>
      <c r="J146" s="34" t="n"/>
      <c r="K146" s="33">
        <f>IF(A146="","",I146+N(J146))</f>
        <v/>
      </c>
      <c r="L146" s="28" t="n"/>
      <c r="M146" s="28" t="n"/>
    </row>
    <row r="147" ht="15" customHeight="1" s="19">
      <c r="A147" s="28" t="n"/>
      <c r="B147" s="31" t="n"/>
      <c r="C147" s="28" t="n"/>
      <c r="D147" s="28" t="n"/>
      <c r="E147" s="28" t="n"/>
      <c r="F147" s="28" t="n"/>
      <c r="G147" s="28" t="n"/>
      <c r="H147" s="32">
        <f>IF(A147="","",SUMIFS(Detalle!$D$5:$D$300,Detalle!$A$5:$A$300,A147))</f>
        <v/>
      </c>
      <c r="I147" s="33">
        <f>IF(A147="","",SUMIFS(Detalle!$F$5:$F$300,Detalle!$A$5:$A$300,A147))</f>
        <v/>
      </c>
      <c r="J147" s="34" t="n"/>
      <c r="K147" s="33">
        <f>IF(A147="","",I147+N(J147))</f>
        <v/>
      </c>
      <c r="L147" s="28" t="n"/>
      <c r="M147" s="28" t="n"/>
    </row>
    <row r="148" ht="15" customHeight="1" s="19">
      <c r="A148" s="28" t="n"/>
      <c r="B148" s="31" t="n"/>
      <c r="C148" s="28" t="n"/>
      <c r="D148" s="28" t="n"/>
      <c r="E148" s="28" t="n"/>
      <c r="F148" s="28" t="n"/>
      <c r="G148" s="28" t="n"/>
      <c r="H148" s="32">
        <f>IF(A148="","",SUMIFS(Detalle!$D$5:$D$300,Detalle!$A$5:$A$300,A148))</f>
        <v/>
      </c>
      <c r="I148" s="33">
        <f>IF(A148="","",SUMIFS(Detalle!$F$5:$F$300,Detalle!$A$5:$A$300,A148))</f>
        <v/>
      </c>
      <c r="J148" s="34" t="n"/>
      <c r="K148" s="33">
        <f>IF(A148="","",I148+N(J148))</f>
        <v/>
      </c>
      <c r="L148" s="28" t="n"/>
      <c r="M148" s="28" t="n"/>
    </row>
    <row r="149" ht="15" customHeight="1" s="19">
      <c r="A149" s="28" t="n"/>
      <c r="B149" s="31" t="n"/>
      <c r="C149" s="28" t="n"/>
      <c r="D149" s="28" t="n"/>
      <c r="E149" s="28" t="n"/>
      <c r="F149" s="28" t="n"/>
      <c r="G149" s="28" t="n"/>
      <c r="H149" s="32">
        <f>IF(A149="","",SUMIFS(Detalle!$D$5:$D$300,Detalle!$A$5:$A$300,A149))</f>
        <v/>
      </c>
      <c r="I149" s="33">
        <f>IF(A149="","",SUMIFS(Detalle!$F$5:$F$300,Detalle!$A$5:$A$300,A149))</f>
        <v/>
      </c>
      <c r="J149" s="34" t="n"/>
      <c r="K149" s="33">
        <f>IF(A149="","",I149+N(J149))</f>
        <v/>
      </c>
      <c r="L149" s="28" t="n"/>
      <c r="M149" s="28" t="n"/>
    </row>
    <row r="150" ht="15" customHeight="1" s="19">
      <c r="A150" s="28" t="n"/>
      <c r="B150" s="31" t="n"/>
      <c r="C150" s="28" t="n"/>
      <c r="D150" s="28" t="n"/>
      <c r="E150" s="28" t="n"/>
      <c r="F150" s="28" t="n"/>
      <c r="G150" s="28" t="n"/>
      <c r="H150" s="32">
        <f>IF(A150="","",SUMIFS(Detalle!$D$5:$D$300,Detalle!$A$5:$A$300,A150))</f>
        <v/>
      </c>
      <c r="I150" s="33">
        <f>IF(A150="","",SUMIFS(Detalle!$F$5:$F$300,Detalle!$A$5:$A$300,A150))</f>
        <v/>
      </c>
      <c r="J150" s="34" t="n"/>
      <c r="K150" s="33">
        <f>IF(A150="","",I150+N(J150))</f>
        <v/>
      </c>
      <c r="L150" s="28" t="n"/>
      <c r="M150" s="28" t="n"/>
    </row>
    <row r="151" ht="15" customHeight="1" s="19">
      <c r="A151" s="28" t="n"/>
      <c r="B151" s="31" t="n"/>
      <c r="C151" s="28" t="n"/>
      <c r="D151" s="28" t="n"/>
      <c r="E151" s="28" t="n"/>
      <c r="F151" s="28" t="n"/>
      <c r="G151" s="28" t="n"/>
      <c r="H151" s="32">
        <f>IF(A151="","",SUMIFS(Detalle!$D$5:$D$300,Detalle!$A$5:$A$300,A151))</f>
        <v/>
      </c>
      <c r="I151" s="33">
        <f>IF(A151="","",SUMIFS(Detalle!$F$5:$F$300,Detalle!$A$5:$A$300,A151))</f>
        <v/>
      </c>
      <c r="J151" s="34" t="n"/>
      <c r="K151" s="33">
        <f>IF(A151="","",I151+N(J151))</f>
        <v/>
      </c>
      <c r="L151" s="28" t="n"/>
      <c r="M151" s="28" t="n"/>
    </row>
    <row r="152" ht="15" customHeight="1" s="19">
      <c r="A152" s="28" t="n"/>
      <c r="B152" s="31" t="n"/>
      <c r="C152" s="28" t="n"/>
      <c r="D152" s="28" t="n"/>
      <c r="E152" s="28" t="n"/>
      <c r="F152" s="28" t="n"/>
      <c r="G152" s="28" t="n"/>
      <c r="H152" s="32">
        <f>IF(A152="","",SUMIFS(Detalle!$D$5:$D$300,Detalle!$A$5:$A$300,A152))</f>
        <v/>
      </c>
      <c r="I152" s="33">
        <f>IF(A152="","",SUMIFS(Detalle!$F$5:$F$300,Detalle!$A$5:$A$300,A152))</f>
        <v/>
      </c>
      <c r="J152" s="34" t="n"/>
      <c r="K152" s="33">
        <f>IF(A152="","",I152+N(J152))</f>
        <v/>
      </c>
      <c r="L152" s="28" t="n"/>
      <c r="M152" s="28" t="n"/>
    </row>
    <row r="153" ht="15" customHeight="1" s="19">
      <c r="A153" s="28" t="n"/>
      <c r="B153" s="31" t="n"/>
      <c r="C153" s="28" t="n"/>
      <c r="D153" s="28" t="n"/>
      <c r="E153" s="28" t="n"/>
      <c r="F153" s="28" t="n"/>
      <c r="G153" s="28" t="n"/>
      <c r="H153" s="32">
        <f>IF(A153="","",SUMIFS(Detalle!$D$5:$D$300,Detalle!$A$5:$A$300,A153))</f>
        <v/>
      </c>
      <c r="I153" s="33">
        <f>IF(A153="","",SUMIFS(Detalle!$F$5:$F$300,Detalle!$A$5:$A$300,A153))</f>
        <v/>
      </c>
      <c r="J153" s="34" t="n"/>
      <c r="K153" s="33">
        <f>IF(A153="","",I153+N(J153))</f>
        <v/>
      </c>
      <c r="L153" s="28" t="n"/>
      <c r="M153" s="28" t="n"/>
    </row>
    <row r="154" ht="15" customHeight="1" s="19">
      <c r="A154" s="28" t="n"/>
      <c r="B154" s="31" t="n"/>
      <c r="C154" s="28" t="n"/>
      <c r="D154" s="28" t="n"/>
      <c r="E154" s="28" t="n"/>
      <c r="F154" s="28" t="n"/>
      <c r="G154" s="28" t="n"/>
      <c r="H154" s="32">
        <f>IF(A154="","",SUMIFS(Detalle!$D$5:$D$300,Detalle!$A$5:$A$300,A154))</f>
        <v/>
      </c>
      <c r="I154" s="33">
        <f>IF(A154="","",SUMIFS(Detalle!$F$5:$F$300,Detalle!$A$5:$A$300,A154))</f>
        <v/>
      </c>
      <c r="J154" s="34" t="n"/>
      <c r="K154" s="33">
        <f>IF(A154="","",I154+N(J154))</f>
        <v/>
      </c>
      <c r="L154" s="28" t="n"/>
      <c r="M154" s="28" t="n"/>
    </row>
    <row r="155" ht="15" customHeight="1" s="19">
      <c r="A155" s="28" t="n"/>
      <c r="B155" s="31" t="n"/>
      <c r="C155" s="28" t="n"/>
      <c r="D155" s="28" t="n"/>
      <c r="E155" s="28" t="n"/>
      <c r="F155" s="28" t="n"/>
      <c r="G155" s="28" t="n"/>
      <c r="H155" s="32">
        <f>IF(A155="","",SUMIFS(Detalle!$D$5:$D$300,Detalle!$A$5:$A$300,A155))</f>
        <v/>
      </c>
      <c r="I155" s="33">
        <f>IF(A155="","",SUMIFS(Detalle!$F$5:$F$300,Detalle!$A$5:$A$300,A155))</f>
        <v/>
      </c>
      <c r="J155" s="34" t="n"/>
      <c r="K155" s="33">
        <f>IF(A155="","",I155+N(J155))</f>
        <v/>
      </c>
      <c r="L155" s="28" t="n"/>
      <c r="M155" s="28" t="n"/>
    </row>
    <row r="156" ht="15" customHeight="1" s="19">
      <c r="A156" s="28" t="n"/>
      <c r="B156" s="31" t="n"/>
      <c r="C156" s="28" t="n"/>
      <c r="D156" s="28" t="n"/>
      <c r="E156" s="28" t="n"/>
      <c r="F156" s="28" t="n"/>
      <c r="G156" s="28" t="n"/>
      <c r="H156" s="32">
        <f>IF(A156="","",SUMIFS(Detalle!$D$5:$D$300,Detalle!$A$5:$A$300,A156))</f>
        <v/>
      </c>
      <c r="I156" s="33">
        <f>IF(A156="","",SUMIFS(Detalle!$F$5:$F$300,Detalle!$A$5:$A$300,A156))</f>
        <v/>
      </c>
      <c r="J156" s="34" t="n"/>
      <c r="K156" s="33">
        <f>IF(A156="","",I156+N(J156))</f>
        <v/>
      </c>
      <c r="L156" s="28" t="n"/>
      <c r="M156" s="28" t="n"/>
    </row>
    <row r="157" ht="15" customHeight="1" s="19">
      <c r="A157" s="28" t="n"/>
      <c r="B157" s="31" t="n"/>
      <c r="C157" s="28" t="n"/>
      <c r="D157" s="28" t="n"/>
      <c r="E157" s="28" t="n"/>
      <c r="F157" s="28" t="n"/>
      <c r="G157" s="28" t="n"/>
      <c r="H157" s="32">
        <f>IF(A157="","",SUMIFS(Detalle!$D$5:$D$300,Detalle!$A$5:$A$300,A157))</f>
        <v/>
      </c>
      <c r="I157" s="33">
        <f>IF(A157="","",SUMIFS(Detalle!$F$5:$F$300,Detalle!$A$5:$A$300,A157))</f>
        <v/>
      </c>
      <c r="J157" s="34" t="n"/>
      <c r="K157" s="33">
        <f>IF(A157="","",I157+N(J157))</f>
        <v/>
      </c>
      <c r="L157" s="28" t="n"/>
      <c r="M157" s="28" t="n"/>
    </row>
    <row r="158" ht="15" customHeight="1" s="19">
      <c r="A158" s="28" t="n"/>
      <c r="B158" s="31" t="n"/>
      <c r="C158" s="28" t="n"/>
      <c r="D158" s="28" t="n"/>
      <c r="E158" s="28" t="n"/>
      <c r="F158" s="28" t="n"/>
      <c r="G158" s="28" t="n"/>
      <c r="H158" s="32">
        <f>IF(A158="","",SUMIFS(Detalle!$D$5:$D$300,Detalle!$A$5:$A$300,A158))</f>
        <v/>
      </c>
      <c r="I158" s="33">
        <f>IF(A158="","",SUMIFS(Detalle!$F$5:$F$300,Detalle!$A$5:$A$300,A158))</f>
        <v/>
      </c>
      <c r="J158" s="34" t="n"/>
      <c r="K158" s="33">
        <f>IF(A158="","",I158+N(J158))</f>
        <v/>
      </c>
      <c r="L158" s="28" t="n"/>
      <c r="M158" s="28" t="n"/>
    </row>
    <row r="159" ht="15" customHeight="1" s="19">
      <c r="A159" s="28" t="n"/>
      <c r="B159" s="31" t="n"/>
      <c r="C159" s="28" t="n"/>
      <c r="D159" s="28" t="n"/>
      <c r="E159" s="28" t="n"/>
      <c r="F159" s="28" t="n"/>
      <c r="G159" s="28" t="n"/>
      <c r="H159" s="32">
        <f>IF(A159="","",SUMIFS(Detalle!$D$5:$D$300,Detalle!$A$5:$A$300,A159))</f>
        <v/>
      </c>
      <c r="I159" s="33">
        <f>IF(A159="","",SUMIFS(Detalle!$F$5:$F$300,Detalle!$A$5:$A$300,A159))</f>
        <v/>
      </c>
      <c r="J159" s="34" t="n"/>
      <c r="K159" s="33">
        <f>IF(A159="","",I159+N(J159))</f>
        <v/>
      </c>
      <c r="L159" s="28" t="n"/>
      <c r="M159" s="28" t="n"/>
    </row>
    <row r="160" ht="15" customHeight="1" s="19">
      <c r="A160" s="28" t="n"/>
      <c r="B160" s="31" t="n"/>
      <c r="C160" s="28" t="n"/>
      <c r="D160" s="28" t="n"/>
      <c r="E160" s="28" t="n"/>
      <c r="F160" s="28" t="n"/>
      <c r="G160" s="28" t="n"/>
      <c r="H160" s="32">
        <f>IF(A160="","",SUMIFS(Detalle!$D$5:$D$300,Detalle!$A$5:$A$300,A160))</f>
        <v/>
      </c>
      <c r="I160" s="33">
        <f>IF(A160="","",SUMIFS(Detalle!$F$5:$F$300,Detalle!$A$5:$A$300,A160))</f>
        <v/>
      </c>
      <c r="J160" s="34" t="n"/>
      <c r="K160" s="33">
        <f>IF(A160="","",I160+N(J160))</f>
        <v/>
      </c>
      <c r="L160" s="28" t="n"/>
      <c r="M160" s="28" t="n"/>
    </row>
    <row r="161" ht="15" customHeight="1" s="19">
      <c r="A161" s="28" t="n"/>
      <c r="B161" s="31" t="n"/>
      <c r="C161" s="28" t="n"/>
      <c r="D161" s="28" t="n"/>
      <c r="E161" s="28" t="n"/>
      <c r="F161" s="28" t="n"/>
      <c r="G161" s="28" t="n"/>
      <c r="H161" s="32">
        <f>IF(A161="","",SUMIFS(Detalle!$D$5:$D$300,Detalle!$A$5:$A$300,A161))</f>
        <v/>
      </c>
      <c r="I161" s="33">
        <f>IF(A161="","",SUMIFS(Detalle!$F$5:$F$300,Detalle!$A$5:$A$300,A161))</f>
        <v/>
      </c>
      <c r="J161" s="34" t="n"/>
      <c r="K161" s="33">
        <f>IF(A161="","",I161+N(J161))</f>
        <v/>
      </c>
      <c r="L161" s="28" t="n"/>
      <c r="M161" s="28" t="n"/>
    </row>
    <row r="162" ht="15" customHeight="1" s="19">
      <c r="A162" s="28" t="n"/>
      <c r="B162" s="31" t="n"/>
      <c r="C162" s="28" t="n"/>
      <c r="D162" s="28" t="n"/>
      <c r="E162" s="28" t="n"/>
      <c r="F162" s="28" t="n"/>
      <c r="G162" s="28" t="n"/>
      <c r="H162" s="32">
        <f>IF(A162="","",SUMIFS(Detalle!$D$5:$D$300,Detalle!$A$5:$A$300,A162))</f>
        <v/>
      </c>
      <c r="I162" s="33">
        <f>IF(A162="","",SUMIFS(Detalle!$F$5:$F$300,Detalle!$A$5:$A$300,A162))</f>
        <v/>
      </c>
      <c r="J162" s="34" t="n"/>
      <c r="K162" s="33">
        <f>IF(A162="","",I162+N(J162))</f>
        <v/>
      </c>
      <c r="L162" s="28" t="n"/>
      <c r="M162" s="28" t="n"/>
    </row>
    <row r="163" ht="15" customHeight="1" s="19">
      <c r="A163" s="28" t="n"/>
      <c r="B163" s="31" t="n"/>
      <c r="C163" s="28" t="n"/>
      <c r="D163" s="28" t="n"/>
      <c r="E163" s="28" t="n"/>
      <c r="F163" s="28" t="n"/>
      <c r="G163" s="28" t="n"/>
      <c r="H163" s="32">
        <f>IF(A163="","",SUMIFS(Detalle!$D$5:$D$300,Detalle!$A$5:$A$300,A163))</f>
        <v/>
      </c>
      <c r="I163" s="33">
        <f>IF(A163="","",SUMIFS(Detalle!$F$5:$F$300,Detalle!$A$5:$A$300,A163))</f>
        <v/>
      </c>
      <c r="J163" s="34" t="n"/>
      <c r="K163" s="33">
        <f>IF(A163="","",I163+N(J163))</f>
        <v/>
      </c>
      <c r="L163" s="28" t="n"/>
      <c r="M163" s="28" t="n"/>
    </row>
    <row r="164" ht="15" customHeight="1" s="19">
      <c r="A164" s="28" t="n"/>
      <c r="B164" s="31" t="n"/>
      <c r="C164" s="28" t="n"/>
      <c r="D164" s="28" t="n"/>
      <c r="E164" s="28" t="n"/>
      <c r="F164" s="28" t="n"/>
      <c r="G164" s="28" t="n"/>
      <c r="H164" s="32">
        <f>IF(A164="","",SUMIFS(Detalle!$D$5:$D$300,Detalle!$A$5:$A$300,A164))</f>
        <v/>
      </c>
      <c r="I164" s="33">
        <f>IF(A164="","",SUMIFS(Detalle!$F$5:$F$300,Detalle!$A$5:$A$300,A164))</f>
        <v/>
      </c>
      <c r="J164" s="34" t="n"/>
      <c r="K164" s="33">
        <f>IF(A164="","",I164+N(J164))</f>
        <v/>
      </c>
      <c r="L164" s="28" t="n"/>
      <c r="M164" s="28" t="n"/>
    </row>
    <row r="165" ht="15" customHeight="1" s="19">
      <c r="A165" s="28" t="n"/>
      <c r="B165" s="31" t="n"/>
      <c r="C165" s="28" t="n"/>
      <c r="D165" s="28" t="n"/>
      <c r="E165" s="28" t="n"/>
      <c r="F165" s="28" t="n"/>
      <c r="G165" s="28" t="n"/>
      <c r="H165" s="32">
        <f>IF(A165="","",SUMIFS(Detalle!$D$5:$D$300,Detalle!$A$5:$A$300,A165))</f>
        <v/>
      </c>
      <c r="I165" s="33">
        <f>IF(A165="","",SUMIFS(Detalle!$F$5:$F$300,Detalle!$A$5:$A$300,A165))</f>
        <v/>
      </c>
      <c r="J165" s="34" t="n"/>
      <c r="K165" s="33">
        <f>IF(A165="","",I165+N(J165))</f>
        <v/>
      </c>
      <c r="L165" s="28" t="n"/>
      <c r="M165" s="28" t="n"/>
    </row>
    <row r="166" ht="15" customHeight="1" s="19">
      <c r="A166" s="28" t="n"/>
      <c r="B166" s="31" t="n"/>
      <c r="C166" s="28" t="n"/>
      <c r="D166" s="28" t="n"/>
      <c r="E166" s="28" t="n"/>
      <c r="F166" s="28" t="n"/>
      <c r="G166" s="28" t="n"/>
      <c r="H166" s="32">
        <f>IF(A166="","",SUMIFS(Detalle!$D$5:$D$300,Detalle!$A$5:$A$300,A166))</f>
        <v/>
      </c>
      <c r="I166" s="33">
        <f>IF(A166="","",SUMIFS(Detalle!$F$5:$F$300,Detalle!$A$5:$A$300,A166))</f>
        <v/>
      </c>
      <c r="J166" s="34" t="n"/>
      <c r="K166" s="33">
        <f>IF(A166="","",I166+N(J166))</f>
        <v/>
      </c>
      <c r="L166" s="28" t="n"/>
      <c r="M166" s="28" t="n"/>
    </row>
    <row r="167" ht="15" customHeight="1" s="19">
      <c r="A167" s="28" t="n"/>
      <c r="B167" s="31" t="n"/>
      <c r="C167" s="28" t="n"/>
      <c r="D167" s="28" t="n"/>
      <c r="E167" s="28" t="n"/>
      <c r="F167" s="28" t="n"/>
      <c r="G167" s="28" t="n"/>
      <c r="H167" s="32">
        <f>IF(A167="","",SUMIFS(Detalle!$D$5:$D$300,Detalle!$A$5:$A$300,A167))</f>
        <v/>
      </c>
      <c r="I167" s="33">
        <f>IF(A167="","",SUMIFS(Detalle!$F$5:$F$300,Detalle!$A$5:$A$300,A167))</f>
        <v/>
      </c>
      <c r="J167" s="34" t="n"/>
      <c r="K167" s="33">
        <f>IF(A167="","",I167+N(J167))</f>
        <v/>
      </c>
      <c r="L167" s="28" t="n"/>
      <c r="M167" s="28" t="n"/>
    </row>
    <row r="168" ht="15" customHeight="1" s="19">
      <c r="A168" s="28" t="n"/>
      <c r="B168" s="31" t="n"/>
      <c r="C168" s="28" t="n"/>
      <c r="D168" s="28" t="n"/>
      <c r="E168" s="28" t="n"/>
      <c r="F168" s="28" t="n"/>
      <c r="G168" s="28" t="n"/>
      <c r="H168" s="32">
        <f>IF(A168="","",SUMIFS(Detalle!$D$5:$D$300,Detalle!$A$5:$A$300,A168))</f>
        <v/>
      </c>
      <c r="I168" s="33">
        <f>IF(A168="","",SUMIFS(Detalle!$F$5:$F$300,Detalle!$A$5:$A$300,A168))</f>
        <v/>
      </c>
      <c r="J168" s="34" t="n"/>
      <c r="K168" s="33">
        <f>IF(A168="","",I168+N(J168))</f>
        <v/>
      </c>
      <c r="L168" s="28" t="n"/>
      <c r="M168" s="28" t="n"/>
    </row>
    <row r="169" ht="15" customHeight="1" s="19">
      <c r="A169" s="28" t="n"/>
      <c r="B169" s="31" t="n"/>
      <c r="C169" s="28" t="n"/>
      <c r="D169" s="28" t="n"/>
      <c r="E169" s="28" t="n"/>
      <c r="F169" s="28" t="n"/>
      <c r="G169" s="28" t="n"/>
      <c r="H169" s="32">
        <f>IF(A169="","",SUMIFS(Detalle!$D$5:$D$300,Detalle!$A$5:$A$300,A169))</f>
        <v/>
      </c>
      <c r="I169" s="33">
        <f>IF(A169="","",SUMIFS(Detalle!$F$5:$F$300,Detalle!$A$5:$A$300,A169))</f>
        <v/>
      </c>
      <c r="J169" s="34" t="n"/>
      <c r="K169" s="33">
        <f>IF(A169="","",I169+N(J169))</f>
        <v/>
      </c>
      <c r="L169" s="28" t="n"/>
      <c r="M169" s="28" t="n"/>
    </row>
    <row r="170" ht="15" customHeight="1" s="19">
      <c r="A170" s="28" t="n"/>
      <c r="B170" s="31" t="n"/>
      <c r="C170" s="28" t="n"/>
      <c r="D170" s="28" t="n"/>
      <c r="E170" s="28" t="n"/>
      <c r="F170" s="28" t="n"/>
      <c r="G170" s="28" t="n"/>
      <c r="H170" s="32">
        <f>IF(A170="","",SUMIFS(Detalle!$D$5:$D$300,Detalle!$A$5:$A$300,A170))</f>
        <v/>
      </c>
      <c r="I170" s="33">
        <f>IF(A170="","",SUMIFS(Detalle!$F$5:$F$300,Detalle!$A$5:$A$300,A170))</f>
        <v/>
      </c>
      <c r="J170" s="34" t="n"/>
      <c r="K170" s="33">
        <f>IF(A170="","",I170+N(J170))</f>
        <v/>
      </c>
      <c r="L170" s="28" t="n"/>
      <c r="M170" s="28" t="n"/>
    </row>
    <row r="171" ht="15" customHeight="1" s="19">
      <c r="A171" s="28" t="n"/>
      <c r="B171" s="31" t="n"/>
      <c r="C171" s="28" t="n"/>
      <c r="D171" s="28" t="n"/>
      <c r="E171" s="28" t="n"/>
      <c r="F171" s="28" t="n"/>
      <c r="G171" s="28" t="n"/>
      <c r="H171" s="32">
        <f>IF(A171="","",SUMIFS(Detalle!$D$5:$D$300,Detalle!$A$5:$A$300,A171))</f>
        <v/>
      </c>
      <c r="I171" s="33">
        <f>IF(A171="","",SUMIFS(Detalle!$F$5:$F$300,Detalle!$A$5:$A$300,A171))</f>
        <v/>
      </c>
      <c r="J171" s="34" t="n"/>
      <c r="K171" s="33">
        <f>IF(A171="","",I171+N(J171))</f>
        <v/>
      </c>
      <c r="L171" s="28" t="n"/>
      <c r="M171" s="28" t="n"/>
    </row>
    <row r="172" ht="15" customHeight="1" s="19">
      <c r="A172" s="28" t="n"/>
      <c r="B172" s="31" t="n"/>
      <c r="C172" s="28" t="n"/>
      <c r="D172" s="28" t="n"/>
      <c r="E172" s="28" t="n"/>
      <c r="F172" s="28" t="n"/>
      <c r="G172" s="28" t="n"/>
      <c r="H172" s="32">
        <f>IF(A172="","",SUMIFS(Detalle!$D$5:$D$300,Detalle!$A$5:$A$300,A172))</f>
        <v/>
      </c>
      <c r="I172" s="33">
        <f>IF(A172="","",SUMIFS(Detalle!$F$5:$F$300,Detalle!$A$5:$A$300,A172))</f>
        <v/>
      </c>
      <c r="J172" s="34" t="n"/>
      <c r="K172" s="33">
        <f>IF(A172="","",I172+N(J172))</f>
        <v/>
      </c>
      <c r="L172" s="28" t="n"/>
      <c r="M172" s="28" t="n"/>
    </row>
    <row r="173" ht="15" customHeight="1" s="19">
      <c r="A173" s="28" t="n"/>
      <c r="B173" s="31" t="n"/>
      <c r="C173" s="28" t="n"/>
      <c r="D173" s="28" t="n"/>
      <c r="E173" s="28" t="n"/>
      <c r="F173" s="28" t="n"/>
      <c r="G173" s="28" t="n"/>
      <c r="H173" s="32">
        <f>IF(A173="","",SUMIFS(Detalle!$D$5:$D$300,Detalle!$A$5:$A$300,A173))</f>
        <v/>
      </c>
      <c r="I173" s="33">
        <f>IF(A173="","",SUMIFS(Detalle!$F$5:$F$300,Detalle!$A$5:$A$300,A173))</f>
        <v/>
      </c>
      <c r="J173" s="34" t="n"/>
      <c r="K173" s="33">
        <f>IF(A173="","",I173+N(J173))</f>
        <v/>
      </c>
      <c r="L173" s="28" t="n"/>
      <c r="M173" s="28" t="n"/>
    </row>
    <row r="174" ht="15" customHeight="1" s="19">
      <c r="A174" s="28" t="n"/>
      <c r="B174" s="31" t="n"/>
      <c r="C174" s="28" t="n"/>
      <c r="D174" s="28" t="n"/>
      <c r="E174" s="28" t="n"/>
      <c r="F174" s="28" t="n"/>
      <c r="G174" s="28" t="n"/>
      <c r="H174" s="32">
        <f>IF(A174="","",SUMIFS(Detalle!$D$5:$D$300,Detalle!$A$5:$A$300,A174))</f>
        <v/>
      </c>
      <c r="I174" s="33">
        <f>IF(A174="","",SUMIFS(Detalle!$F$5:$F$300,Detalle!$A$5:$A$300,A174))</f>
        <v/>
      </c>
      <c r="J174" s="34" t="n"/>
      <c r="K174" s="33">
        <f>IF(A174="","",I174+N(J174))</f>
        <v/>
      </c>
      <c r="L174" s="28" t="n"/>
      <c r="M174" s="28" t="n"/>
    </row>
    <row r="175" ht="15" customHeight="1" s="19">
      <c r="A175" s="28" t="n"/>
      <c r="B175" s="31" t="n"/>
      <c r="C175" s="28" t="n"/>
      <c r="D175" s="28" t="n"/>
      <c r="E175" s="28" t="n"/>
      <c r="F175" s="28" t="n"/>
      <c r="G175" s="28" t="n"/>
      <c r="H175" s="32">
        <f>IF(A175="","",SUMIFS(Detalle!$D$5:$D$300,Detalle!$A$5:$A$300,A175))</f>
        <v/>
      </c>
      <c r="I175" s="33">
        <f>IF(A175="","",SUMIFS(Detalle!$F$5:$F$300,Detalle!$A$5:$A$300,A175))</f>
        <v/>
      </c>
      <c r="J175" s="34" t="n"/>
      <c r="K175" s="33">
        <f>IF(A175="","",I175+N(J175))</f>
        <v/>
      </c>
      <c r="L175" s="28" t="n"/>
      <c r="M175" s="28" t="n"/>
    </row>
    <row r="176" ht="15" customHeight="1" s="19">
      <c r="A176" s="28" t="n"/>
      <c r="B176" s="31" t="n"/>
      <c r="C176" s="28" t="n"/>
      <c r="D176" s="28" t="n"/>
      <c r="E176" s="28" t="n"/>
      <c r="F176" s="28" t="n"/>
      <c r="G176" s="28" t="n"/>
      <c r="H176" s="32">
        <f>IF(A176="","",SUMIFS(Detalle!$D$5:$D$300,Detalle!$A$5:$A$300,A176))</f>
        <v/>
      </c>
      <c r="I176" s="33">
        <f>IF(A176="","",SUMIFS(Detalle!$F$5:$F$300,Detalle!$A$5:$A$300,A176))</f>
        <v/>
      </c>
      <c r="J176" s="34" t="n"/>
      <c r="K176" s="33">
        <f>IF(A176="","",I176+N(J176))</f>
        <v/>
      </c>
      <c r="L176" s="28" t="n"/>
      <c r="M176" s="28" t="n"/>
    </row>
    <row r="177" ht="15" customHeight="1" s="19">
      <c r="A177" s="28" t="n"/>
      <c r="B177" s="31" t="n"/>
      <c r="C177" s="28" t="n"/>
      <c r="D177" s="28" t="n"/>
      <c r="E177" s="28" t="n"/>
      <c r="F177" s="28" t="n"/>
      <c r="G177" s="28" t="n"/>
      <c r="H177" s="32">
        <f>IF(A177="","",SUMIFS(Detalle!$D$5:$D$300,Detalle!$A$5:$A$300,A177))</f>
        <v/>
      </c>
      <c r="I177" s="33">
        <f>IF(A177="","",SUMIFS(Detalle!$F$5:$F$300,Detalle!$A$5:$A$300,A177))</f>
        <v/>
      </c>
      <c r="J177" s="34" t="n"/>
      <c r="K177" s="33">
        <f>IF(A177="","",I177+N(J177))</f>
        <v/>
      </c>
      <c r="L177" s="28" t="n"/>
      <c r="M177" s="28" t="n"/>
    </row>
    <row r="178" ht="15" customHeight="1" s="19">
      <c r="A178" s="28" t="n"/>
      <c r="B178" s="31" t="n"/>
      <c r="C178" s="28" t="n"/>
      <c r="D178" s="28" t="n"/>
      <c r="E178" s="28" t="n"/>
      <c r="F178" s="28" t="n"/>
      <c r="G178" s="28" t="n"/>
      <c r="H178" s="32">
        <f>IF(A178="","",SUMIFS(Detalle!$D$5:$D$300,Detalle!$A$5:$A$300,A178))</f>
        <v/>
      </c>
      <c r="I178" s="33">
        <f>IF(A178="","",SUMIFS(Detalle!$F$5:$F$300,Detalle!$A$5:$A$300,A178))</f>
        <v/>
      </c>
      <c r="J178" s="34" t="n"/>
      <c r="K178" s="33">
        <f>IF(A178="","",I178+N(J178))</f>
        <v/>
      </c>
      <c r="L178" s="28" t="n"/>
      <c r="M178" s="28" t="n"/>
    </row>
    <row r="179" ht="15" customHeight="1" s="19">
      <c r="A179" s="28" t="n"/>
      <c r="B179" s="31" t="n"/>
      <c r="C179" s="28" t="n"/>
      <c r="D179" s="28" t="n"/>
      <c r="E179" s="28" t="n"/>
      <c r="F179" s="28" t="n"/>
      <c r="G179" s="28" t="n"/>
      <c r="H179" s="32">
        <f>IF(A179="","",SUMIFS(Detalle!$D$5:$D$300,Detalle!$A$5:$A$300,A179))</f>
        <v/>
      </c>
      <c r="I179" s="33">
        <f>IF(A179="","",SUMIFS(Detalle!$F$5:$F$300,Detalle!$A$5:$A$300,A179))</f>
        <v/>
      </c>
      <c r="J179" s="34" t="n"/>
      <c r="K179" s="33">
        <f>IF(A179="","",I179+N(J179))</f>
        <v/>
      </c>
      <c r="L179" s="28" t="n"/>
      <c r="M179" s="28" t="n"/>
    </row>
    <row r="180" ht="15" customHeight="1" s="19">
      <c r="A180" s="28" t="n"/>
      <c r="B180" s="31" t="n"/>
      <c r="C180" s="28" t="n"/>
      <c r="D180" s="28" t="n"/>
      <c r="E180" s="28" t="n"/>
      <c r="F180" s="28" t="n"/>
      <c r="G180" s="28" t="n"/>
      <c r="H180" s="32">
        <f>IF(A180="","",SUMIFS(Detalle!$D$5:$D$300,Detalle!$A$5:$A$300,A180))</f>
        <v/>
      </c>
      <c r="I180" s="33">
        <f>IF(A180="","",SUMIFS(Detalle!$F$5:$F$300,Detalle!$A$5:$A$300,A180))</f>
        <v/>
      </c>
      <c r="J180" s="34" t="n"/>
      <c r="K180" s="33">
        <f>IF(A180="","",I180+N(J180))</f>
        <v/>
      </c>
      <c r="L180" s="28" t="n"/>
      <c r="M180" s="28" t="n"/>
    </row>
    <row r="181" ht="15" customHeight="1" s="19">
      <c r="A181" s="28" t="n"/>
      <c r="B181" s="31" t="n"/>
      <c r="C181" s="28" t="n"/>
      <c r="D181" s="28" t="n"/>
      <c r="E181" s="28" t="n"/>
      <c r="F181" s="28" t="n"/>
      <c r="G181" s="28" t="n"/>
      <c r="H181" s="32">
        <f>IF(A181="","",SUMIFS(Detalle!$D$5:$D$300,Detalle!$A$5:$A$300,A181))</f>
        <v/>
      </c>
      <c r="I181" s="33">
        <f>IF(A181="","",SUMIFS(Detalle!$F$5:$F$300,Detalle!$A$5:$A$300,A181))</f>
        <v/>
      </c>
      <c r="J181" s="34" t="n"/>
      <c r="K181" s="33">
        <f>IF(A181="","",I181+N(J181))</f>
        <v/>
      </c>
      <c r="L181" s="28" t="n"/>
      <c r="M181" s="28" t="n"/>
    </row>
    <row r="182" ht="15" customHeight="1" s="19">
      <c r="A182" s="28" t="n"/>
      <c r="B182" s="31" t="n"/>
      <c r="C182" s="28" t="n"/>
      <c r="D182" s="28" t="n"/>
      <c r="E182" s="28" t="n"/>
      <c r="F182" s="28" t="n"/>
      <c r="G182" s="28" t="n"/>
      <c r="H182" s="32">
        <f>IF(A182="","",SUMIFS(Detalle!$D$5:$D$300,Detalle!$A$5:$A$300,A182))</f>
        <v/>
      </c>
      <c r="I182" s="33">
        <f>IF(A182="","",SUMIFS(Detalle!$F$5:$F$300,Detalle!$A$5:$A$300,A182))</f>
        <v/>
      </c>
      <c r="J182" s="34" t="n"/>
      <c r="K182" s="33">
        <f>IF(A182="","",I182+N(J182))</f>
        <v/>
      </c>
      <c r="L182" s="28" t="n"/>
      <c r="M182" s="28" t="n"/>
    </row>
    <row r="183" ht="15" customHeight="1" s="19">
      <c r="A183" s="28" t="n"/>
      <c r="B183" s="31" t="n"/>
      <c r="C183" s="28" t="n"/>
      <c r="D183" s="28" t="n"/>
      <c r="E183" s="28" t="n"/>
      <c r="F183" s="28" t="n"/>
      <c r="G183" s="28" t="n"/>
      <c r="H183" s="32">
        <f>IF(A183="","",SUMIFS(Detalle!$D$5:$D$300,Detalle!$A$5:$A$300,A183))</f>
        <v/>
      </c>
      <c r="I183" s="33">
        <f>IF(A183="","",SUMIFS(Detalle!$F$5:$F$300,Detalle!$A$5:$A$300,A183))</f>
        <v/>
      </c>
      <c r="J183" s="34" t="n"/>
      <c r="K183" s="33">
        <f>IF(A183="","",I183+N(J183))</f>
        <v/>
      </c>
      <c r="L183" s="28" t="n"/>
      <c r="M183" s="28" t="n"/>
    </row>
    <row r="184" ht="15" customHeight="1" s="19">
      <c r="A184" s="28" t="n"/>
      <c r="B184" s="31" t="n"/>
      <c r="C184" s="28" t="n"/>
      <c r="D184" s="28" t="n"/>
      <c r="E184" s="28" t="n"/>
      <c r="F184" s="28" t="n"/>
      <c r="G184" s="28" t="n"/>
      <c r="H184" s="32">
        <f>IF(A184="","",SUMIFS(Detalle!$D$5:$D$300,Detalle!$A$5:$A$300,A184))</f>
        <v/>
      </c>
      <c r="I184" s="33">
        <f>IF(A184="","",SUMIFS(Detalle!$F$5:$F$300,Detalle!$A$5:$A$300,A184))</f>
        <v/>
      </c>
      <c r="J184" s="34" t="n"/>
      <c r="K184" s="33">
        <f>IF(A184="","",I184+N(J184))</f>
        <v/>
      </c>
      <c r="L184" s="28" t="n"/>
      <c r="M184" s="28" t="n"/>
    </row>
    <row r="185" ht="15" customHeight="1" s="19">
      <c r="A185" s="28" t="n"/>
      <c r="B185" s="31" t="n"/>
      <c r="C185" s="28" t="n"/>
      <c r="D185" s="28" t="n"/>
      <c r="E185" s="28" t="n"/>
      <c r="F185" s="28" t="n"/>
      <c r="G185" s="28" t="n"/>
      <c r="H185" s="32">
        <f>IF(A185="","",SUMIFS(Detalle!$D$5:$D$300,Detalle!$A$5:$A$300,A185))</f>
        <v/>
      </c>
      <c r="I185" s="33">
        <f>IF(A185="","",SUMIFS(Detalle!$F$5:$F$300,Detalle!$A$5:$A$300,A185))</f>
        <v/>
      </c>
      <c r="J185" s="34" t="n"/>
      <c r="K185" s="33">
        <f>IF(A185="","",I185+N(J185))</f>
        <v/>
      </c>
      <c r="L185" s="28" t="n"/>
      <c r="M185" s="28" t="n"/>
    </row>
    <row r="186" ht="15" customHeight="1" s="19">
      <c r="A186" s="28" t="n"/>
      <c r="B186" s="31" t="n"/>
      <c r="C186" s="28" t="n"/>
      <c r="D186" s="28" t="n"/>
      <c r="E186" s="28" t="n"/>
      <c r="F186" s="28" t="n"/>
      <c r="G186" s="28" t="n"/>
      <c r="H186" s="32">
        <f>IF(A186="","",SUMIFS(Detalle!$D$5:$D$300,Detalle!$A$5:$A$300,A186))</f>
        <v/>
      </c>
      <c r="I186" s="33">
        <f>IF(A186="","",SUMIFS(Detalle!$F$5:$F$300,Detalle!$A$5:$A$300,A186))</f>
        <v/>
      </c>
      <c r="J186" s="34" t="n"/>
      <c r="K186" s="33">
        <f>IF(A186="","",I186+N(J186))</f>
        <v/>
      </c>
      <c r="L186" s="28" t="n"/>
      <c r="M186" s="28" t="n"/>
    </row>
    <row r="187" ht="15" customHeight="1" s="19">
      <c r="A187" s="28" t="n"/>
      <c r="B187" s="31" t="n"/>
      <c r="C187" s="28" t="n"/>
      <c r="D187" s="28" t="n"/>
      <c r="E187" s="28" t="n"/>
      <c r="F187" s="28" t="n"/>
      <c r="G187" s="28" t="n"/>
      <c r="H187" s="32">
        <f>IF(A187="","",SUMIFS(Detalle!$D$5:$D$300,Detalle!$A$5:$A$300,A187))</f>
        <v/>
      </c>
      <c r="I187" s="33">
        <f>IF(A187="","",SUMIFS(Detalle!$F$5:$F$300,Detalle!$A$5:$A$300,A187))</f>
        <v/>
      </c>
      <c r="J187" s="34" t="n"/>
      <c r="K187" s="33">
        <f>IF(A187="","",I187+N(J187))</f>
        <v/>
      </c>
      <c r="L187" s="28" t="n"/>
      <c r="M187" s="28" t="n"/>
    </row>
    <row r="188" ht="15" customHeight="1" s="19">
      <c r="A188" s="28" t="n"/>
      <c r="B188" s="31" t="n"/>
      <c r="C188" s="28" t="n"/>
      <c r="D188" s="28" t="n"/>
      <c r="E188" s="28" t="n"/>
      <c r="F188" s="28" t="n"/>
      <c r="G188" s="28" t="n"/>
      <c r="H188" s="32">
        <f>IF(A188="","",SUMIFS(Detalle!$D$5:$D$300,Detalle!$A$5:$A$300,A188))</f>
        <v/>
      </c>
      <c r="I188" s="33">
        <f>IF(A188="","",SUMIFS(Detalle!$F$5:$F$300,Detalle!$A$5:$A$300,A188))</f>
        <v/>
      </c>
      <c r="J188" s="34" t="n"/>
      <c r="K188" s="33">
        <f>IF(A188="","",I188+N(J188))</f>
        <v/>
      </c>
      <c r="L188" s="28" t="n"/>
      <c r="M188" s="28" t="n"/>
    </row>
    <row r="189" ht="15" customHeight="1" s="19">
      <c r="A189" s="28" t="n"/>
      <c r="B189" s="31" t="n"/>
      <c r="C189" s="28" t="n"/>
      <c r="D189" s="28" t="n"/>
      <c r="E189" s="28" t="n"/>
      <c r="F189" s="28" t="n"/>
      <c r="G189" s="28" t="n"/>
      <c r="H189" s="32">
        <f>IF(A189="","",SUMIFS(Detalle!$D$5:$D$300,Detalle!$A$5:$A$300,A189))</f>
        <v/>
      </c>
      <c r="I189" s="33">
        <f>IF(A189="","",SUMIFS(Detalle!$F$5:$F$300,Detalle!$A$5:$A$300,A189))</f>
        <v/>
      </c>
      <c r="J189" s="34" t="n"/>
      <c r="K189" s="33">
        <f>IF(A189="","",I189+N(J189))</f>
        <v/>
      </c>
      <c r="L189" s="28" t="n"/>
      <c r="M189" s="28" t="n"/>
    </row>
    <row r="190" ht="15" customHeight="1" s="19">
      <c r="A190" s="28" t="n"/>
      <c r="B190" s="31" t="n"/>
      <c r="C190" s="28" t="n"/>
      <c r="D190" s="28" t="n"/>
      <c r="E190" s="28" t="n"/>
      <c r="F190" s="28" t="n"/>
      <c r="G190" s="28" t="n"/>
      <c r="H190" s="32">
        <f>IF(A190="","",SUMIFS(Detalle!$D$5:$D$300,Detalle!$A$5:$A$300,A190))</f>
        <v/>
      </c>
      <c r="I190" s="33">
        <f>IF(A190="","",SUMIFS(Detalle!$F$5:$F$300,Detalle!$A$5:$A$300,A190))</f>
        <v/>
      </c>
      <c r="J190" s="34" t="n"/>
      <c r="K190" s="33">
        <f>IF(A190="","",I190+N(J190))</f>
        <v/>
      </c>
      <c r="L190" s="28" t="n"/>
      <c r="M190" s="28" t="n"/>
    </row>
    <row r="191" ht="15" customHeight="1" s="19">
      <c r="A191" s="28" t="n"/>
      <c r="B191" s="31" t="n"/>
      <c r="C191" s="28" t="n"/>
      <c r="D191" s="28" t="n"/>
      <c r="E191" s="28" t="n"/>
      <c r="F191" s="28" t="n"/>
      <c r="G191" s="28" t="n"/>
      <c r="H191" s="32">
        <f>IF(A191="","",SUMIFS(Detalle!$D$5:$D$300,Detalle!$A$5:$A$300,A191))</f>
        <v/>
      </c>
      <c r="I191" s="33">
        <f>IF(A191="","",SUMIFS(Detalle!$F$5:$F$300,Detalle!$A$5:$A$300,A191))</f>
        <v/>
      </c>
      <c r="J191" s="34" t="n"/>
      <c r="K191" s="33">
        <f>IF(A191="","",I191+N(J191))</f>
        <v/>
      </c>
      <c r="L191" s="28" t="n"/>
      <c r="M191" s="28" t="n"/>
    </row>
    <row r="192" ht="15" customHeight="1" s="19">
      <c r="A192" s="28" t="n"/>
      <c r="B192" s="31" t="n"/>
      <c r="C192" s="28" t="n"/>
      <c r="D192" s="28" t="n"/>
      <c r="E192" s="28" t="n"/>
      <c r="F192" s="28" t="n"/>
      <c r="G192" s="28" t="n"/>
      <c r="H192" s="32">
        <f>IF(A192="","",SUMIFS(Detalle!$D$5:$D$300,Detalle!$A$5:$A$300,A192))</f>
        <v/>
      </c>
      <c r="I192" s="33">
        <f>IF(A192="","",SUMIFS(Detalle!$F$5:$F$300,Detalle!$A$5:$A$300,A192))</f>
        <v/>
      </c>
      <c r="J192" s="34" t="n"/>
      <c r="K192" s="33">
        <f>IF(A192="","",I192+N(J192))</f>
        <v/>
      </c>
      <c r="L192" s="28" t="n"/>
      <c r="M192" s="28" t="n"/>
    </row>
    <row r="193" ht="15" customHeight="1" s="19">
      <c r="A193" s="28" t="n"/>
      <c r="B193" s="31" t="n"/>
      <c r="C193" s="28" t="n"/>
      <c r="D193" s="28" t="n"/>
      <c r="E193" s="28" t="n"/>
      <c r="F193" s="28" t="n"/>
      <c r="G193" s="28" t="n"/>
      <c r="H193" s="32">
        <f>IF(A193="","",SUMIFS(Detalle!$D$5:$D$300,Detalle!$A$5:$A$300,A193))</f>
        <v/>
      </c>
      <c r="I193" s="33">
        <f>IF(A193="","",SUMIFS(Detalle!$F$5:$F$300,Detalle!$A$5:$A$300,A193))</f>
        <v/>
      </c>
      <c r="J193" s="34" t="n"/>
      <c r="K193" s="33">
        <f>IF(A193="","",I193+N(J193))</f>
        <v/>
      </c>
      <c r="L193" s="28" t="n"/>
      <c r="M193" s="28" t="n"/>
    </row>
    <row r="194" ht="15" customHeight="1" s="19">
      <c r="A194" s="28" t="n"/>
      <c r="B194" s="31" t="n"/>
      <c r="C194" s="28" t="n"/>
      <c r="D194" s="28" t="n"/>
      <c r="E194" s="28" t="n"/>
      <c r="F194" s="28" t="n"/>
      <c r="G194" s="28" t="n"/>
      <c r="H194" s="32">
        <f>IF(A194="","",SUMIFS(Detalle!$D$5:$D$300,Detalle!$A$5:$A$300,A194))</f>
        <v/>
      </c>
      <c r="I194" s="33">
        <f>IF(A194="","",SUMIFS(Detalle!$F$5:$F$300,Detalle!$A$5:$A$300,A194))</f>
        <v/>
      </c>
      <c r="J194" s="34" t="n"/>
      <c r="K194" s="33">
        <f>IF(A194="","",I194+N(J194))</f>
        <v/>
      </c>
      <c r="L194" s="28" t="n"/>
      <c r="M194" s="28" t="n"/>
    </row>
    <row r="195" ht="15" customHeight="1" s="19">
      <c r="A195" s="28" t="n"/>
      <c r="B195" s="31" t="n"/>
      <c r="C195" s="28" t="n"/>
      <c r="D195" s="28" t="n"/>
      <c r="E195" s="28" t="n"/>
      <c r="F195" s="28" t="n"/>
      <c r="G195" s="28" t="n"/>
      <c r="H195" s="32">
        <f>IF(A195="","",SUMIFS(Detalle!$D$5:$D$300,Detalle!$A$5:$A$300,A195))</f>
        <v/>
      </c>
      <c r="I195" s="33">
        <f>IF(A195="","",SUMIFS(Detalle!$F$5:$F$300,Detalle!$A$5:$A$300,A195))</f>
        <v/>
      </c>
      <c r="J195" s="34" t="n"/>
      <c r="K195" s="33">
        <f>IF(A195="","",I195+N(J195))</f>
        <v/>
      </c>
      <c r="L195" s="28" t="n"/>
      <c r="M195" s="28" t="n"/>
    </row>
    <row r="196" ht="15" customHeight="1" s="19">
      <c r="A196" s="28" t="n"/>
      <c r="B196" s="31" t="n"/>
      <c r="C196" s="28" t="n"/>
      <c r="D196" s="28" t="n"/>
      <c r="E196" s="28" t="n"/>
      <c r="F196" s="28" t="n"/>
      <c r="G196" s="28" t="n"/>
      <c r="H196" s="32">
        <f>IF(A196="","",SUMIFS(Detalle!$D$5:$D$300,Detalle!$A$5:$A$300,A196))</f>
        <v/>
      </c>
      <c r="I196" s="33">
        <f>IF(A196="","",SUMIFS(Detalle!$F$5:$F$300,Detalle!$A$5:$A$300,A196))</f>
        <v/>
      </c>
      <c r="J196" s="34" t="n"/>
      <c r="K196" s="33">
        <f>IF(A196="","",I196+N(J196))</f>
        <v/>
      </c>
      <c r="L196" s="28" t="n"/>
      <c r="M196" s="28" t="n"/>
    </row>
    <row r="197" ht="15" customHeight="1" s="19">
      <c r="A197" s="28" t="n"/>
      <c r="B197" s="31" t="n"/>
      <c r="C197" s="28" t="n"/>
      <c r="D197" s="28" t="n"/>
      <c r="E197" s="28" t="n"/>
      <c r="F197" s="28" t="n"/>
      <c r="G197" s="28" t="n"/>
      <c r="H197" s="32">
        <f>IF(A197="","",SUMIFS(Detalle!$D$5:$D$300,Detalle!$A$5:$A$300,A197))</f>
        <v/>
      </c>
      <c r="I197" s="33">
        <f>IF(A197="","",SUMIFS(Detalle!$F$5:$F$300,Detalle!$A$5:$A$300,A197))</f>
        <v/>
      </c>
      <c r="J197" s="34" t="n"/>
      <c r="K197" s="33">
        <f>IF(A197="","",I197+N(J197))</f>
        <v/>
      </c>
      <c r="L197" s="28" t="n"/>
      <c r="M197" s="28" t="n"/>
    </row>
    <row r="198" ht="15" customHeight="1" s="19">
      <c r="A198" s="28" t="n"/>
      <c r="B198" s="31" t="n"/>
      <c r="C198" s="28" t="n"/>
      <c r="D198" s="28" t="n"/>
      <c r="E198" s="28" t="n"/>
      <c r="F198" s="28" t="n"/>
      <c r="G198" s="28" t="n"/>
      <c r="H198" s="32">
        <f>IF(A198="","",SUMIFS(Detalle!$D$5:$D$300,Detalle!$A$5:$A$300,A198))</f>
        <v/>
      </c>
      <c r="I198" s="33">
        <f>IF(A198="","",SUMIFS(Detalle!$F$5:$F$300,Detalle!$A$5:$A$300,A198))</f>
        <v/>
      </c>
      <c r="J198" s="34" t="n"/>
      <c r="K198" s="33">
        <f>IF(A198="","",I198+N(J198))</f>
        <v/>
      </c>
      <c r="L198" s="28" t="n"/>
      <c r="M198" s="28" t="n"/>
    </row>
    <row r="199" ht="15" customHeight="1" s="19">
      <c r="A199" s="28" t="n"/>
      <c r="B199" s="31" t="n"/>
      <c r="C199" s="28" t="n"/>
      <c r="D199" s="28" t="n"/>
      <c r="E199" s="28" t="n"/>
      <c r="F199" s="28" t="n"/>
      <c r="G199" s="28" t="n"/>
      <c r="H199" s="32">
        <f>IF(A199="","",SUMIFS(Detalle!$D$5:$D$300,Detalle!$A$5:$A$300,A199))</f>
        <v/>
      </c>
      <c r="I199" s="33">
        <f>IF(A199="","",SUMIFS(Detalle!$F$5:$F$300,Detalle!$A$5:$A$300,A199))</f>
        <v/>
      </c>
      <c r="J199" s="34" t="n"/>
      <c r="K199" s="33">
        <f>IF(A199="","",I199+N(J199))</f>
        <v/>
      </c>
      <c r="L199" s="28" t="n"/>
      <c r="M199" s="28" t="n"/>
    </row>
    <row r="200" ht="15" customHeight="1" s="19">
      <c r="A200" s="28" t="n"/>
      <c r="B200" s="31" t="n"/>
      <c r="C200" s="28" t="n"/>
      <c r="D200" s="28" t="n"/>
      <c r="E200" s="28" t="n"/>
      <c r="F200" s="28" t="n"/>
      <c r="G200" s="28" t="n"/>
      <c r="H200" s="32">
        <f>IF(A200="","",SUMIFS(Detalle!$D$5:$D$300,Detalle!$A$5:$A$300,A200))</f>
        <v/>
      </c>
      <c r="I200" s="33">
        <f>IF(A200="","",SUMIFS(Detalle!$F$5:$F$300,Detalle!$A$5:$A$300,A200))</f>
        <v/>
      </c>
      <c r="J200" s="34" t="n"/>
      <c r="K200" s="33">
        <f>IF(A200="","",I200+N(J200))</f>
        <v/>
      </c>
      <c r="L200" s="28" t="n"/>
      <c r="M200" s="28" t="n"/>
    </row>
    <row r="201" ht="15" customHeight="1" s="19">
      <c r="A201" s="28" t="n"/>
      <c r="B201" s="31" t="n"/>
      <c r="C201" s="28" t="n"/>
      <c r="D201" s="28" t="n"/>
      <c r="E201" s="28" t="n"/>
      <c r="F201" s="28" t="n"/>
      <c r="G201" s="28" t="n"/>
      <c r="H201" s="32">
        <f>IF(A201="","",SUMIFS(Detalle!$D$5:$D$300,Detalle!$A$5:$A$300,A201))</f>
        <v/>
      </c>
      <c r="I201" s="33">
        <f>IF(A201="","",SUMIFS(Detalle!$F$5:$F$300,Detalle!$A$5:$A$300,A201))</f>
        <v/>
      </c>
      <c r="J201" s="34" t="n"/>
      <c r="K201" s="33">
        <f>IF(A201="","",I201+N(J201))</f>
        <v/>
      </c>
      <c r="L201" s="28" t="n"/>
      <c r="M201" s="28" t="n"/>
    </row>
    <row r="202" ht="15" customHeight="1" s="19">
      <c r="A202" s="28" t="n"/>
      <c r="B202" s="31" t="n"/>
      <c r="C202" s="28" t="n"/>
      <c r="D202" s="28" t="n"/>
      <c r="E202" s="28" t="n"/>
      <c r="F202" s="28" t="n"/>
      <c r="G202" s="28" t="n"/>
      <c r="H202" s="32">
        <f>IF(A202="","",SUMIFS(Detalle!$D$5:$D$300,Detalle!$A$5:$A$300,A202))</f>
        <v/>
      </c>
      <c r="I202" s="33">
        <f>IF(A202="","",SUMIFS(Detalle!$F$5:$F$300,Detalle!$A$5:$A$300,A202))</f>
        <v/>
      </c>
      <c r="J202" s="34" t="n"/>
      <c r="K202" s="33">
        <f>IF(A202="","",I202+N(J202))</f>
        <v/>
      </c>
      <c r="L202" s="28" t="n"/>
      <c r="M202" s="28" t="n"/>
    </row>
    <row r="203" ht="15" customHeight="1" s="19">
      <c r="A203" s="28" t="n"/>
      <c r="B203" s="31" t="n"/>
      <c r="C203" s="28" t="n"/>
      <c r="D203" s="28" t="n"/>
      <c r="E203" s="28" t="n"/>
      <c r="F203" s="28" t="n"/>
      <c r="G203" s="28" t="n"/>
      <c r="H203" s="32">
        <f>IF(A203="","",SUMIFS(Detalle!$D$5:$D$300,Detalle!$A$5:$A$300,A203))</f>
        <v/>
      </c>
      <c r="I203" s="33">
        <f>IF(A203="","",SUMIFS(Detalle!$F$5:$F$300,Detalle!$A$5:$A$300,A203))</f>
        <v/>
      </c>
      <c r="J203" s="34" t="n"/>
      <c r="K203" s="33">
        <f>IF(A203="","",I203+N(J203))</f>
        <v/>
      </c>
      <c r="L203" s="28" t="n"/>
      <c r="M203" s="28" t="n"/>
    </row>
    <row r="204" ht="15" customHeight="1" s="19">
      <c r="A204" s="28" t="n"/>
      <c r="B204" s="31" t="n"/>
      <c r="C204" s="28" t="n"/>
      <c r="D204" s="28" t="n"/>
      <c r="E204" s="28" t="n"/>
      <c r="F204" s="28" t="n"/>
      <c r="G204" s="28" t="n"/>
      <c r="H204" s="32">
        <f>IF(A204="","",SUMIFS(Detalle!$D$5:$D$300,Detalle!$A$5:$A$300,A204))</f>
        <v/>
      </c>
      <c r="I204" s="33">
        <f>IF(A204="","",SUMIFS(Detalle!$F$5:$F$300,Detalle!$A$5:$A$300,A204))</f>
        <v/>
      </c>
      <c r="J204" s="34" t="n"/>
      <c r="K204" s="33">
        <f>IF(A204="","",I204+N(J204))</f>
        <v/>
      </c>
      <c r="L204" s="28" t="n"/>
      <c r="M204" s="28" t="n"/>
    </row>
    <row r="205" ht="15" customHeight="1" s="19">
      <c r="A205" s="28" t="n"/>
      <c r="B205" s="31" t="n"/>
      <c r="C205" s="28" t="n"/>
      <c r="D205" s="28" t="n"/>
      <c r="E205" s="28" t="n"/>
      <c r="F205" s="28" t="n"/>
      <c r="G205" s="28" t="n"/>
      <c r="H205" s="32">
        <f>IF(A205="","",SUMIFS(Detalle!$D$5:$D$300,Detalle!$A$5:$A$300,A205))</f>
        <v/>
      </c>
      <c r="I205" s="33">
        <f>IF(A205="","",SUMIFS(Detalle!$F$5:$F$300,Detalle!$A$5:$A$300,A205))</f>
        <v/>
      </c>
      <c r="J205" s="34" t="n"/>
      <c r="K205" s="33">
        <f>IF(A205="","",I205+N(J205))</f>
        <v/>
      </c>
      <c r="L205" s="28" t="n"/>
      <c r="M205" s="28" t="n"/>
    </row>
    <row r="206" ht="15" customHeight="1" s="19">
      <c r="A206" s="28" t="n"/>
      <c r="B206" s="31" t="n"/>
      <c r="C206" s="28" t="n"/>
      <c r="D206" s="28" t="n"/>
      <c r="E206" s="28" t="n"/>
      <c r="F206" s="28" t="n"/>
      <c r="G206" s="28" t="n"/>
      <c r="H206" s="32">
        <f>IF(A206="","",SUMIFS(Detalle!$D$5:$D$300,Detalle!$A$5:$A$300,A206))</f>
        <v/>
      </c>
      <c r="I206" s="33">
        <f>IF(A206="","",SUMIFS(Detalle!$F$5:$F$300,Detalle!$A$5:$A$300,A206))</f>
        <v/>
      </c>
      <c r="J206" s="34" t="n"/>
      <c r="K206" s="33">
        <f>IF(A206="","",I206+N(J206))</f>
        <v/>
      </c>
      <c r="L206" s="28" t="n"/>
      <c r="M206" s="28" t="n"/>
    </row>
    <row r="207" ht="15" customHeight="1" s="19">
      <c r="A207" s="28" t="n"/>
      <c r="B207" s="31" t="n"/>
      <c r="C207" s="28" t="n"/>
      <c r="D207" s="28" t="n"/>
      <c r="E207" s="28" t="n"/>
      <c r="F207" s="28" t="n"/>
      <c r="G207" s="28" t="n"/>
      <c r="H207" s="32">
        <f>IF(A207="","",SUMIFS(Detalle!$D$5:$D$300,Detalle!$A$5:$A$300,A207))</f>
        <v/>
      </c>
      <c r="I207" s="33">
        <f>IF(A207="","",SUMIFS(Detalle!$F$5:$F$300,Detalle!$A$5:$A$300,A207))</f>
        <v/>
      </c>
      <c r="J207" s="34" t="n"/>
      <c r="K207" s="33">
        <f>IF(A207="","",I207+N(J207))</f>
        <v/>
      </c>
      <c r="L207" s="28" t="n"/>
      <c r="M207" s="28" t="n"/>
    </row>
    <row r="208" ht="15" customHeight="1" s="19">
      <c r="A208" s="28" t="n"/>
      <c r="B208" s="31" t="n"/>
      <c r="C208" s="28" t="n"/>
      <c r="D208" s="28" t="n"/>
      <c r="E208" s="28" t="n"/>
      <c r="F208" s="28" t="n"/>
      <c r="G208" s="28" t="n"/>
      <c r="H208" s="32">
        <f>IF(A208="","",SUMIFS(Detalle!$D$5:$D$300,Detalle!$A$5:$A$300,A208))</f>
        <v/>
      </c>
      <c r="I208" s="33">
        <f>IF(A208="","",SUMIFS(Detalle!$F$5:$F$300,Detalle!$A$5:$A$300,A208))</f>
        <v/>
      </c>
      <c r="J208" s="34" t="n"/>
      <c r="K208" s="33">
        <f>IF(A208="","",I208+N(J208))</f>
        <v/>
      </c>
      <c r="L208" s="28" t="n"/>
      <c r="M208" s="28" t="n"/>
    </row>
    <row r="209" ht="15" customHeight="1" s="19">
      <c r="A209" s="28" t="n"/>
      <c r="B209" s="31" t="n"/>
      <c r="C209" s="28" t="n"/>
      <c r="D209" s="28" t="n"/>
      <c r="E209" s="28" t="n"/>
      <c r="F209" s="28" t="n"/>
      <c r="G209" s="28" t="n"/>
      <c r="H209" s="32">
        <f>IF(A209="","",SUMIFS(Detalle!$D$5:$D$300,Detalle!$A$5:$A$300,A209))</f>
        <v/>
      </c>
      <c r="I209" s="33">
        <f>IF(A209="","",SUMIFS(Detalle!$F$5:$F$300,Detalle!$A$5:$A$300,A209))</f>
        <v/>
      </c>
      <c r="J209" s="34" t="n"/>
      <c r="K209" s="33">
        <f>IF(A209="","",I209+N(J209))</f>
        <v/>
      </c>
      <c r="L209" s="28" t="n"/>
      <c r="M209" s="28" t="n"/>
    </row>
    <row r="210" ht="15" customHeight="1" s="19">
      <c r="A210" s="28" t="n"/>
      <c r="B210" s="31" t="n"/>
      <c r="C210" s="28" t="n"/>
      <c r="D210" s="28" t="n"/>
      <c r="E210" s="28" t="n"/>
      <c r="F210" s="28" t="n"/>
      <c r="G210" s="28" t="n"/>
      <c r="H210" s="32">
        <f>IF(A210="","",SUMIFS(Detalle!$D$5:$D$300,Detalle!$A$5:$A$300,A210))</f>
        <v/>
      </c>
      <c r="I210" s="33">
        <f>IF(A210="","",SUMIFS(Detalle!$F$5:$F$300,Detalle!$A$5:$A$300,A210))</f>
        <v/>
      </c>
      <c r="J210" s="34" t="n"/>
      <c r="K210" s="33">
        <f>IF(A210="","",I210+N(J210))</f>
        <v/>
      </c>
      <c r="L210" s="28" t="n"/>
      <c r="M210" s="28" t="n"/>
    </row>
    <row r="211" ht="15" customHeight="1" s="19">
      <c r="A211" s="28" t="n"/>
      <c r="B211" s="31" t="n"/>
      <c r="C211" s="28" t="n"/>
      <c r="D211" s="28" t="n"/>
      <c r="E211" s="28" t="n"/>
      <c r="F211" s="28" t="n"/>
      <c r="G211" s="28" t="n"/>
      <c r="H211" s="32">
        <f>IF(A211="","",SUMIFS(Detalle!$D$5:$D$300,Detalle!$A$5:$A$300,A211))</f>
        <v/>
      </c>
      <c r="I211" s="33">
        <f>IF(A211="","",SUMIFS(Detalle!$F$5:$F$300,Detalle!$A$5:$A$300,A211))</f>
        <v/>
      </c>
      <c r="J211" s="34" t="n"/>
      <c r="K211" s="33">
        <f>IF(A211="","",I211+N(J211))</f>
        <v/>
      </c>
      <c r="L211" s="28" t="n"/>
      <c r="M211" s="28" t="n"/>
    </row>
    <row r="212" ht="15" customHeight="1" s="19">
      <c r="A212" s="28" t="n"/>
      <c r="B212" s="31" t="n"/>
      <c r="C212" s="28" t="n"/>
      <c r="D212" s="28" t="n"/>
      <c r="E212" s="28" t="n"/>
      <c r="F212" s="28" t="n"/>
      <c r="G212" s="28" t="n"/>
      <c r="H212" s="32">
        <f>IF(A212="","",SUMIFS(Detalle!$D$5:$D$300,Detalle!$A$5:$A$300,A212))</f>
        <v/>
      </c>
      <c r="I212" s="33">
        <f>IF(A212="","",SUMIFS(Detalle!$F$5:$F$300,Detalle!$A$5:$A$300,A212))</f>
        <v/>
      </c>
      <c r="J212" s="34" t="n"/>
      <c r="K212" s="33">
        <f>IF(A212="","",I212+N(J212))</f>
        <v/>
      </c>
      <c r="L212" s="28" t="n"/>
      <c r="M212" s="28" t="n"/>
    </row>
    <row r="213" ht="15" customHeight="1" s="19">
      <c r="A213" s="28" t="n"/>
      <c r="B213" s="31" t="n"/>
      <c r="C213" s="28" t="n"/>
      <c r="D213" s="28" t="n"/>
      <c r="E213" s="28" t="n"/>
      <c r="F213" s="28" t="n"/>
      <c r="G213" s="28" t="n"/>
      <c r="H213" s="32">
        <f>IF(A213="","",SUMIFS(Detalle!$D$5:$D$300,Detalle!$A$5:$A$300,A213))</f>
        <v/>
      </c>
      <c r="I213" s="33">
        <f>IF(A213="","",SUMIFS(Detalle!$F$5:$F$300,Detalle!$A$5:$A$300,A213))</f>
        <v/>
      </c>
      <c r="J213" s="34" t="n"/>
      <c r="K213" s="33">
        <f>IF(A213="","",I213+N(J213))</f>
        <v/>
      </c>
      <c r="L213" s="28" t="n"/>
      <c r="M213" s="28" t="n"/>
    </row>
    <row r="214" ht="15" customHeight="1" s="19">
      <c r="A214" s="28" t="n"/>
      <c r="B214" s="31" t="n"/>
      <c r="C214" s="28" t="n"/>
      <c r="D214" s="28" t="n"/>
      <c r="E214" s="28" t="n"/>
      <c r="F214" s="28" t="n"/>
      <c r="G214" s="28" t="n"/>
      <c r="H214" s="32">
        <f>IF(A214="","",SUMIFS(Detalle!$D$5:$D$300,Detalle!$A$5:$A$300,A214))</f>
        <v/>
      </c>
      <c r="I214" s="33">
        <f>IF(A214="","",SUMIFS(Detalle!$F$5:$F$300,Detalle!$A$5:$A$300,A214))</f>
        <v/>
      </c>
      <c r="J214" s="34" t="n"/>
      <c r="K214" s="33">
        <f>IF(A214="","",I214+N(J214))</f>
        <v/>
      </c>
      <c r="L214" s="28" t="n"/>
      <c r="M214" s="28" t="n"/>
    </row>
    <row r="215" ht="15" customHeight="1" s="19">
      <c r="A215" s="28" t="n"/>
      <c r="B215" s="31" t="n"/>
      <c r="C215" s="28" t="n"/>
      <c r="D215" s="28" t="n"/>
      <c r="E215" s="28" t="n"/>
      <c r="F215" s="28" t="n"/>
      <c r="G215" s="28" t="n"/>
      <c r="H215" s="32">
        <f>IF(A215="","",SUMIFS(Detalle!$D$5:$D$300,Detalle!$A$5:$A$300,A215))</f>
        <v/>
      </c>
      <c r="I215" s="33">
        <f>IF(A215="","",SUMIFS(Detalle!$F$5:$F$300,Detalle!$A$5:$A$300,A215))</f>
        <v/>
      </c>
      <c r="J215" s="34" t="n"/>
      <c r="K215" s="33">
        <f>IF(A215="","",I215+N(J215))</f>
        <v/>
      </c>
      <c r="L215" s="28" t="n"/>
      <c r="M215" s="28" t="n"/>
    </row>
    <row r="216" ht="15" customHeight="1" s="19">
      <c r="A216" s="28" t="n"/>
      <c r="B216" s="31" t="n"/>
      <c r="C216" s="28" t="n"/>
      <c r="D216" s="28" t="n"/>
      <c r="E216" s="28" t="n"/>
      <c r="F216" s="28" t="n"/>
      <c r="G216" s="28" t="n"/>
      <c r="H216" s="32">
        <f>IF(A216="","",SUMIFS(Detalle!$D$5:$D$300,Detalle!$A$5:$A$300,A216))</f>
        <v/>
      </c>
      <c r="I216" s="33">
        <f>IF(A216="","",SUMIFS(Detalle!$F$5:$F$300,Detalle!$A$5:$A$300,A216))</f>
        <v/>
      </c>
      <c r="J216" s="34" t="n"/>
      <c r="K216" s="33">
        <f>IF(A216="","",I216+N(J216))</f>
        <v/>
      </c>
      <c r="L216" s="28" t="n"/>
      <c r="M216" s="28" t="n"/>
    </row>
    <row r="217" ht="15" customHeight="1" s="19">
      <c r="A217" s="28" t="n"/>
      <c r="B217" s="31" t="n"/>
      <c r="C217" s="28" t="n"/>
      <c r="D217" s="28" t="n"/>
      <c r="E217" s="28" t="n"/>
      <c r="F217" s="28" t="n"/>
      <c r="G217" s="28" t="n"/>
      <c r="H217" s="32">
        <f>IF(A217="","",SUMIFS(Detalle!$D$5:$D$300,Detalle!$A$5:$A$300,A217))</f>
        <v/>
      </c>
      <c r="I217" s="33">
        <f>IF(A217="","",SUMIFS(Detalle!$F$5:$F$300,Detalle!$A$5:$A$300,A217))</f>
        <v/>
      </c>
      <c r="J217" s="34" t="n"/>
      <c r="K217" s="33">
        <f>IF(A217="","",I217+N(J217))</f>
        <v/>
      </c>
      <c r="L217" s="28" t="n"/>
      <c r="M217" s="28" t="n"/>
    </row>
    <row r="218" ht="15" customHeight="1" s="19">
      <c r="A218" s="28" t="n"/>
      <c r="B218" s="31" t="n"/>
      <c r="C218" s="28" t="n"/>
      <c r="D218" s="28" t="n"/>
      <c r="E218" s="28" t="n"/>
      <c r="F218" s="28" t="n"/>
      <c r="G218" s="28" t="n"/>
      <c r="H218" s="32">
        <f>IF(A218="","",SUMIFS(Detalle!$D$5:$D$300,Detalle!$A$5:$A$300,A218))</f>
        <v/>
      </c>
      <c r="I218" s="33">
        <f>IF(A218="","",SUMIFS(Detalle!$F$5:$F$300,Detalle!$A$5:$A$300,A218))</f>
        <v/>
      </c>
      <c r="J218" s="34" t="n"/>
      <c r="K218" s="33">
        <f>IF(A218="","",I218+N(J218))</f>
        <v/>
      </c>
      <c r="L218" s="28" t="n"/>
      <c r="M218" s="28" t="n"/>
    </row>
    <row r="219" ht="15" customHeight="1" s="19">
      <c r="A219" s="28" t="n"/>
      <c r="B219" s="31" t="n"/>
      <c r="C219" s="28" t="n"/>
      <c r="D219" s="28" t="n"/>
      <c r="E219" s="28" t="n"/>
      <c r="F219" s="28" t="n"/>
      <c r="G219" s="28" t="n"/>
      <c r="H219" s="32">
        <f>IF(A219="","",SUMIFS(Detalle!$D$5:$D$300,Detalle!$A$5:$A$300,A219))</f>
        <v/>
      </c>
      <c r="I219" s="33">
        <f>IF(A219="","",SUMIFS(Detalle!$F$5:$F$300,Detalle!$A$5:$A$300,A219))</f>
        <v/>
      </c>
      <c r="J219" s="34" t="n"/>
      <c r="K219" s="33">
        <f>IF(A219="","",I219+N(J219))</f>
        <v/>
      </c>
      <c r="L219" s="28" t="n"/>
      <c r="M219" s="28" t="n"/>
    </row>
    <row r="220" ht="15" customHeight="1" s="19">
      <c r="A220" s="28" t="n"/>
      <c r="B220" s="31" t="n"/>
      <c r="C220" s="28" t="n"/>
      <c r="D220" s="28" t="n"/>
      <c r="E220" s="28" t="n"/>
      <c r="F220" s="28" t="n"/>
      <c r="G220" s="28" t="n"/>
      <c r="H220" s="32">
        <f>IF(A220="","",SUMIFS(Detalle!$D$5:$D$300,Detalle!$A$5:$A$300,A220))</f>
        <v/>
      </c>
      <c r="I220" s="33">
        <f>IF(A220="","",SUMIFS(Detalle!$F$5:$F$300,Detalle!$A$5:$A$300,A220))</f>
        <v/>
      </c>
      <c r="J220" s="34" t="n"/>
      <c r="K220" s="33">
        <f>IF(A220="","",I220+N(J220))</f>
        <v/>
      </c>
      <c r="L220" s="28" t="n"/>
      <c r="M220" s="28" t="n"/>
    </row>
    <row r="221" ht="15" customHeight="1" s="19">
      <c r="A221" s="28" t="n"/>
      <c r="B221" s="31" t="n"/>
      <c r="C221" s="28" t="n"/>
      <c r="D221" s="28" t="n"/>
      <c r="E221" s="28" t="n"/>
      <c r="F221" s="28" t="n"/>
      <c r="G221" s="28" t="n"/>
      <c r="H221" s="32">
        <f>IF(A221="","",SUMIFS(Detalle!$D$5:$D$300,Detalle!$A$5:$A$300,A221))</f>
        <v/>
      </c>
      <c r="I221" s="33">
        <f>IF(A221="","",SUMIFS(Detalle!$F$5:$F$300,Detalle!$A$5:$A$300,A221))</f>
        <v/>
      </c>
      <c r="J221" s="34" t="n"/>
      <c r="K221" s="33">
        <f>IF(A221="","",I221+N(J221))</f>
        <v/>
      </c>
      <c r="L221" s="28" t="n"/>
      <c r="M221" s="28" t="n"/>
    </row>
    <row r="222" ht="15" customHeight="1" s="19">
      <c r="A222" s="28" t="n"/>
      <c r="B222" s="31" t="n"/>
      <c r="C222" s="28" t="n"/>
      <c r="D222" s="28" t="n"/>
      <c r="E222" s="28" t="n"/>
      <c r="F222" s="28" t="n"/>
      <c r="G222" s="28" t="n"/>
      <c r="H222" s="32">
        <f>IF(A222="","",SUMIFS(Detalle!$D$5:$D$300,Detalle!$A$5:$A$300,A222))</f>
        <v/>
      </c>
      <c r="I222" s="33">
        <f>IF(A222="","",SUMIFS(Detalle!$F$5:$F$300,Detalle!$A$5:$A$300,A222))</f>
        <v/>
      </c>
      <c r="J222" s="34" t="n"/>
      <c r="K222" s="33">
        <f>IF(A222="","",I222+N(J222))</f>
        <v/>
      </c>
      <c r="L222" s="28" t="n"/>
      <c r="M222" s="28" t="n"/>
    </row>
    <row r="223" ht="15" customHeight="1" s="19">
      <c r="A223" s="28" t="n"/>
      <c r="B223" s="31" t="n"/>
      <c r="C223" s="28" t="n"/>
      <c r="D223" s="28" t="n"/>
      <c r="E223" s="28" t="n"/>
      <c r="F223" s="28" t="n"/>
      <c r="G223" s="28" t="n"/>
      <c r="H223" s="32">
        <f>IF(A223="","",SUMIFS(Detalle!$D$5:$D$300,Detalle!$A$5:$A$300,A223))</f>
        <v/>
      </c>
      <c r="I223" s="33">
        <f>IF(A223="","",SUMIFS(Detalle!$F$5:$F$300,Detalle!$A$5:$A$300,A223))</f>
        <v/>
      </c>
      <c r="J223" s="34" t="n"/>
      <c r="K223" s="33">
        <f>IF(A223="","",I223+N(J223))</f>
        <v/>
      </c>
      <c r="L223" s="28" t="n"/>
      <c r="M223" s="28" t="n"/>
    </row>
    <row r="224" ht="15" customHeight="1" s="19">
      <c r="A224" s="28" t="n"/>
      <c r="B224" s="31" t="n"/>
      <c r="C224" s="28" t="n"/>
      <c r="D224" s="28" t="n"/>
      <c r="E224" s="28" t="n"/>
      <c r="F224" s="28" t="n"/>
      <c r="G224" s="28" t="n"/>
      <c r="H224" s="32">
        <f>IF(A224="","",SUMIFS(Detalle!$D$5:$D$300,Detalle!$A$5:$A$300,A224))</f>
        <v/>
      </c>
      <c r="I224" s="33">
        <f>IF(A224="","",SUMIFS(Detalle!$F$5:$F$300,Detalle!$A$5:$A$300,A224))</f>
        <v/>
      </c>
      <c r="J224" s="34" t="n"/>
      <c r="K224" s="33">
        <f>IF(A224="","",I224+N(J224))</f>
        <v/>
      </c>
      <c r="L224" s="28" t="n"/>
      <c r="M224" s="28" t="n"/>
    </row>
    <row r="225" ht="15" customHeight="1" s="19">
      <c r="A225" s="28" t="n"/>
      <c r="B225" s="31" t="n"/>
      <c r="C225" s="28" t="n"/>
      <c r="D225" s="28" t="n"/>
      <c r="E225" s="28" t="n"/>
      <c r="F225" s="28" t="n"/>
      <c r="G225" s="28" t="n"/>
      <c r="H225" s="32">
        <f>IF(A225="","",SUMIFS(Detalle!$D$5:$D$300,Detalle!$A$5:$A$300,A225))</f>
        <v/>
      </c>
      <c r="I225" s="33">
        <f>IF(A225="","",SUMIFS(Detalle!$F$5:$F$300,Detalle!$A$5:$A$300,A225))</f>
        <v/>
      </c>
      <c r="J225" s="34" t="n"/>
      <c r="K225" s="33">
        <f>IF(A225="","",I225+N(J225))</f>
        <v/>
      </c>
      <c r="L225" s="28" t="n"/>
      <c r="M225" s="28" t="n"/>
    </row>
    <row r="226" ht="15" customHeight="1" s="19">
      <c r="A226" s="28" t="n"/>
      <c r="B226" s="31" t="n"/>
      <c r="C226" s="28" t="n"/>
      <c r="D226" s="28" t="n"/>
      <c r="E226" s="28" t="n"/>
      <c r="F226" s="28" t="n"/>
      <c r="G226" s="28" t="n"/>
      <c r="H226" s="32">
        <f>IF(A226="","",SUMIFS(Detalle!$D$5:$D$300,Detalle!$A$5:$A$300,A226))</f>
        <v/>
      </c>
      <c r="I226" s="33">
        <f>IF(A226="","",SUMIFS(Detalle!$F$5:$F$300,Detalle!$A$5:$A$300,A226))</f>
        <v/>
      </c>
      <c r="J226" s="34" t="n"/>
      <c r="K226" s="33">
        <f>IF(A226="","",I226+N(J226))</f>
        <v/>
      </c>
      <c r="L226" s="28" t="n"/>
      <c r="M226" s="28" t="n"/>
    </row>
    <row r="227" ht="15" customHeight="1" s="19">
      <c r="A227" s="28" t="n"/>
      <c r="B227" s="31" t="n"/>
      <c r="C227" s="28" t="n"/>
      <c r="D227" s="28" t="n"/>
      <c r="E227" s="28" t="n"/>
      <c r="F227" s="28" t="n"/>
      <c r="G227" s="28" t="n"/>
      <c r="H227" s="32">
        <f>IF(A227="","",SUMIFS(Detalle!$D$5:$D$300,Detalle!$A$5:$A$300,A227))</f>
        <v/>
      </c>
      <c r="I227" s="33">
        <f>IF(A227="","",SUMIFS(Detalle!$F$5:$F$300,Detalle!$A$5:$A$300,A227))</f>
        <v/>
      </c>
      <c r="J227" s="34" t="n"/>
      <c r="K227" s="33">
        <f>IF(A227="","",I227+N(J227))</f>
        <v/>
      </c>
      <c r="L227" s="28" t="n"/>
      <c r="M227" s="28" t="n"/>
    </row>
    <row r="228" ht="15" customHeight="1" s="19">
      <c r="A228" s="28" t="n"/>
      <c r="B228" s="31" t="n"/>
      <c r="C228" s="28" t="n"/>
      <c r="D228" s="28" t="n"/>
      <c r="E228" s="28" t="n"/>
      <c r="F228" s="28" t="n"/>
      <c r="G228" s="28" t="n"/>
      <c r="H228" s="32">
        <f>IF(A228="","",SUMIFS(Detalle!$D$5:$D$300,Detalle!$A$5:$A$300,A228))</f>
        <v/>
      </c>
      <c r="I228" s="33">
        <f>IF(A228="","",SUMIFS(Detalle!$F$5:$F$300,Detalle!$A$5:$A$300,A228))</f>
        <v/>
      </c>
      <c r="J228" s="34" t="n"/>
      <c r="K228" s="33">
        <f>IF(A228="","",I228+N(J228))</f>
        <v/>
      </c>
      <c r="L228" s="28" t="n"/>
      <c r="M228" s="28" t="n"/>
    </row>
    <row r="229" ht="15" customHeight="1" s="19">
      <c r="A229" s="28" t="n"/>
      <c r="B229" s="31" t="n"/>
      <c r="C229" s="28" t="n"/>
      <c r="D229" s="28" t="n"/>
      <c r="E229" s="28" t="n"/>
      <c r="F229" s="28" t="n"/>
      <c r="G229" s="28" t="n"/>
      <c r="H229" s="32">
        <f>IF(A229="","",SUMIFS(Detalle!$D$5:$D$300,Detalle!$A$5:$A$300,A229))</f>
        <v/>
      </c>
      <c r="I229" s="33">
        <f>IF(A229="","",SUMIFS(Detalle!$F$5:$F$300,Detalle!$A$5:$A$300,A229))</f>
        <v/>
      </c>
      <c r="J229" s="34" t="n"/>
      <c r="K229" s="33">
        <f>IF(A229="","",I229+N(J229))</f>
        <v/>
      </c>
      <c r="L229" s="28" t="n"/>
      <c r="M229" s="28" t="n"/>
    </row>
    <row r="230" ht="15" customHeight="1" s="19">
      <c r="A230" s="28" t="n"/>
      <c r="B230" s="31" t="n"/>
      <c r="C230" s="28" t="n"/>
      <c r="D230" s="28" t="n"/>
      <c r="E230" s="28" t="n"/>
      <c r="F230" s="28" t="n"/>
      <c r="G230" s="28" t="n"/>
      <c r="H230" s="32">
        <f>IF(A230="","",SUMIFS(Detalle!$D$5:$D$300,Detalle!$A$5:$A$300,A230))</f>
        <v/>
      </c>
      <c r="I230" s="33">
        <f>IF(A230="","",SUMIFS(Detalle!$F$5:$F$300,Detalle!$A$5:$A$300,A230))</f>
        <v/>
      </c>
      <c r="J230" s="34" t="n"/>
      <c r="K230" s="33">
        <f>IF(A230="","",I230+N(J230))</f>
        <v/>
      </c>
      <c r="L230" s="28" t="n"/>
      <c r="M230" s="28" t="n"/>
    </row>
    <row r="231" ht="15" customHeight="1" s="19">
      <c r="A231" s="28" t="n"/>
      <c r="B231" s="31" t="n"/>
      <c r="C231" s="28" t="n"/>
      <c r="D231" s="28" t="n"/>
      <c r="E231" s="28" t="n"/>
      <c r="F231" s="28" t="n"/>
      <c r="G231" s="28" t="n"/>
      <c r="H231" s="32">
        <f>IF(A231="","",SUMIFS(Detalle!$D$5:$D$300,Detalle!$A$5:$A$300,A231))</f>
        <v/>
      </c>
      <c r="I231" s="33">
        <f>IF(A231="","",SUMIFS(Detalle!$F$5:$F$300,Detalle!$A$5:$A$300,A231))</f>
        <v/>
      </c>
      <c r="J231" s="34" t="n"/>
      <c r="K231" s="33">
        <f>IF(A231="","",I231+N(J231))</f>
        <v/>
      </c>
      <c r="L231" s="28" t="n"/>
      <c r="M231" s="28" t="n"/>
    </row>
    <row r="232" ht="15" customHeight="1" s="19">
      <c r="A232" s="28" t="n"/>
      <c r="B232" s="31" t="n"/>
      <c r="C232" s="28" t="n"/>
      <c r="D232" s="28" t="n"/>
      <c r="E232" s="28" t="n"/>
      <c r="F232" s="28" t="n"/>
      <c r="G232" s="28" t="n"/>
      <c r="H232" s="32">
        <f>IF(A232="","",SUMIFS(Detalle!$D$5:$D$300,Detalle!$A$5:$A$300,A232))</f>
        <v/>
      </c>
      <c r="I232" s="33">
        <f>IF(A232="","",SUMIFS(Detalle!$F$5:$F$300,Detalle!$A$5:$A$300,A232))</f>
        <v/>
      </c>
      <c r="J232" s="34" t="n"/>
      <c r="K232" s="33">
        <f>IF(A232="","",I232+N(J232))</f>
        <v/>
      </c>
      <c r="L232" s="28" t="n"/>
      <c r="M232" s="28" t="n"/>
    </row>
    <row r="233" ht="15" customHeight="1" s="19">
      <c r="A233" s="28" t="n"/>
      <c r="B233" s="31" t="n"/>
      <c r="C233" s="28" t="n"/>
      <c r="D233" s="28" t="n"/>
      <c r="E233" s="28" t="n"/>
      <c r="F233" s="28" t="n"/>
      <c r="G233" s="28" t="n"/>
      <c r="H233" s="32">
        <f>IF(A233="","",SUMIFS(Detalle!$D$5:$D$300,Detalle!$A$5:$A$300,A233))</f>
        <v/>
      </c>
      <c r="I233" s="33">
        <f>IF(A233="","",SUMIFS(Detalle!$F$5:$F$300,Detalle!$A$5:$A$300,A233))</f>
        <v/>
      </c>
      <c r="J233" s="34" t="n"/>
      <c r="K233" s="33">
        <f>IF(A233="","",I233+N(J233))</f>
        <v/>
      </c>
      <c r="L233" s="28" t="n"/>
      <c r="M233" s="28" t="n"/>
    </row>
    <row r="234" ht="15" customHeight="1" s="19">
      <c r="A234" s="28" t="n"/>
      <c r="B234" s="31" t="n"/>
      <c r="C234" s="28" t="n"/>
      <c r="D234" s="28" t="n"/>
      <c r="E234" s="28" t="n"/>
      <c r="F234" s="28" t="n"/>
      <c r="G234" s="28" t="n"/>
      <c r="H234" s="32">
        <f>IF(A234="","",SUMIFS(Detalle!$D$5:$D$300,Detalle!$A$5:$A$300,A234))</f>
        <v/>
      </c>
      <c r="I234" s="33">
        <f>IF(A234="","",SUMIFS(Detalle!$F$5:$F$300,Detalle!$A$5:$A$300,A234))</f>
        <v/>
      </c>
      <c r="J234" s="34" t="n"/>
      <c r="K234" s="33">
        <f>IF(A234="","",I234+N(J234))</f>
        <v/>
      </c>
      <c r="L234" s="28" t="n"/>
      <c r="M234" s="28" t="n"/>
    </row>
    <row r="235" ht="15" customHeight="1" s="19">
      <c r="A235" s="28" t="n"/>
      <c r="B235" s="31" t="n"/>
      <c r="C235" s="28" t="n"/>
      <c r="D235" s="28" t="n"/>
      <c r="E235" s="28" t="n"/>
      <c r="F235" s="28" t="n"/>
      <c r="G235" s="28" t="n"/>
      <c r="H235" s="32">
        <f>IF(A235="","",SUMIFS(Detalle!$D$5:$D$300,Detalle!$A$5:$A$300,A235))</f>
        <v/>
      </c>
      <c r="I235" s="33">
        <f>IF(A235="","",SUMIFS(Detalle!$F$5:$F$300,Detalle!$A$5:$A$300,A235))</f>
        <v/>
      </c>
      <c r="J235" s="34" t="n"/>
      <c r="K235" s="33">
        <f>IF(A235="","",I235+N(J235))</f>
        <v/>
      </c>
      <c r="L235" s="28" t="n"/>
      <c r="M235" s="28" t="n"/>
    </row>
    <row r="236" ht="15" customHeight="1" s="19">
      <c r="A236" s="28" t="n"/>
      <c r="B236" s="31" t="n"/>
      <c r="C236" s="28" t="n"/>
      <c r="D236" s="28" t="n"/>
      <c r="E236" s="28" t="n"/>
      <c r="F236" s="28" t="n"/>
      <c r="G236" s="28" t="n"/>
      <c r="H236" s="32">
        <f>IF(A236="","",SUMIFS(Detalle!$D$5:$D$300,Detalle!$A$5:$A$300,A236))</f>
        <v/>
      </c>
      <c r="I236" s="33">
        <f>IF(A236="","",SUMIFS(Detalle!$F$5:$F$300,Detalle!$A$5:$A$300,A236))</f>
        <v/>
      </c>
      <c r="J236" s="34" t="n"/>
      <c r="K236" s="33">
        <f>IF(A236="","",I236+N(J236))</f>
        <v/>
      </c>
      <c r="L236" s="28" t="n"/>
      <c r="M236" s="28" t="n"/>
    </row>
    <row r="237" ht="15" customHeight="1" s="19">
      <c r="A237" s="28" t="n"/>
      <c r="B237" s="31" t="n"/>
      <c r="C237" s="28" t="n"/>
      <c r="D237" s="28" t="n"/>
      <c r="E237" s="28" t="n"/>
      <c r="F237" s="28" t="n"/>
      <c r="G237" s="28" t="n"/>
      <c r="H237" s="32">
        <f>IF(A237="","",SUMIFS(Detalle!$D$5:$D$300,Detalle!$A$5:$A$300,A237))</f>
        <v/>
      </c>
      <c r="I237" s="33">
        <f>IF(A237="","",SUMIFS(Detalle!$F$5:$F$300,Detalle!$A$5:$A$300,A237))</f>
        <v/>
      </c>
      <c r="J237" s="34" t="n"/>
      <c r="K237" s="33">
        <f>IF(A237="","",I237+N(J237))</f>
        <v/>
      </c>
      <c r="L237" s="28" t="n"/>
      <c r="M237" s="28" t="n"/>
    </row>
    <row r="238" ht="15" customHeight="1" s="19">
      <c r="A238" s="28" t="n"/>
      <c r="B238" s="31" t="n"/>
      <c r="C238" s="28" t="n"/>
      <c r="D238" s="28" t="n"/>
      <c r="E238" s="28" t="n"/>
      <c r="F238" s="28" t="n"/>
      <c r="G238" s="28" t="n"/>
      <c r="H238" s="32">
        <f>IF(A238="","",SUMIFS(Detalle!$D$5:$D$300,Detalle!$A$5:$A$300,A238))</f>
        <v/>
      </c>
      <c r="I238" s="33">
        <f>IF(A238="","",SUMIFS(Detalle!$F$5:$F$300,Detalle!$A$5:$A$300,A238))</f>
        <v/>
      </c>
      <c r="J238" s="34" t="n"/>
      <c r="K238" s="33">
        <f>IF(A238="","",I238+N(J238))</f>
        <v/>
      </c>
      <c r="L238" s="28" t="n"/>
      <c r="M238" s="28" t="n"/>
    </row>
    <row r="239" ht="15" customHeight="1" s="19">
      <c r="A239" s="28" t="n"/>
      <c r="B239" s="31" t="n"/>
      <c r="C239" s="28" t="n"/>
      <c r="D239" s="28" t="n"/>
      <c r="E239" s="28" t="n"/>
      <c r="F239" s="28" t="n"/>
      <c r="G239" s="28" t="n"/>
      <c r="H239" s="32">
        <f>IF(A239="","",SUMIFS(Detalle!$D$5:$D$300,Detalle!$A$5:$A$300,A239))</f>
        <v/>
      </c>
      <c r="I239" s="33">
        <f>IF(A239="","",SUMIFS(Detalle!$F$5:$F$300,Detalle!$A$5:$A$300,A239))</f>
        <v/>
      </c>
      <c r="J239" s="34" t="n"/>
      <c r="K239" s="33">
        <f>IF(A239="","",I239+N(J239))</f>
        <v/>
      </c>
      <c r="L239" s="28" t="n"/>
      <c r="M239" s="28" t="n"/>
    </row>
    <row r="240" ht="15" customHeight="1" s="19">
      <c r="A240" s="28" t="n"/>
      <c r="B240" s="31" t="n"/>
      <c r="C240" s="28" t="n"/>
      <c r="D240" s="28" t="n"/>
      <c r="E240" s="28" t="n"/>
      <c r="F240" s="28" t="n"/>
      <c r="G240" s="28" t="n"/>
      <c r="H240" s="32">
        <f>IF(A240="","",SUMIFS(Detalle!$D$5:$D$300,Detalle!$A$5:$A$300,A240))</f>
        <v/>
      </c>
      <c r="I240" s="33">
        <f>IF(A240="","",SUMIFS(Detalle!$F$5:$F$300,Detalle!$A$5:$A$300,A240))</f>
        <v/>
      </c>
      <c r="J240" s="34" t="n"/>
      <c r="K240" s="33">
        <f>IF(A240="","",I240+N(J240))</f>
        <v/>
      </c>
      <c r="L240" s="28" t="n"/>
      <c r="M240" s="28" t="n"/>
    </row>
    <row r="241" ht="15" customHeight="1" s="19">
      <c r="A241" s="28" t="n"/>
      <c r="B241" s="31" t="n"/>
      <c r="C241" s="28" t="n"/>
      <c r="D241" s="28" t="n"/>
      <c r="E241" s="28" t="n"/>
      <c r="F241" s="28" t="n"/>
      <c r="G241" s="28" t="n"/>
      <c r="H241" s="32">
        <f>IF(A241="","",SUMIFS(Detalle!$D$5:$D$300,Detalle!$A$5:$A$300,A241))</f>
        <v/>
      </c>
      <c r="I241" s="33">
        <f>IF(A241="","",SUMIFS(Detalle!$F$5:$F$300,Detalle!$A$5:$A$300,A241))</f>
        <v/>
      </c>
      <c r="J241" s="34" t="n"/>
      <c r="K241" s="33">
        <f>IF(A241="","",I241+N(J241))</f>
        <v/>
      </c>
      <c r="L241" s="28" t="n"/>
      <c r="M241" s="28" t="n"/>
    </row>
    <row r="242" ht="15" customHeight="1" s="19">
      <c r="A242" s="28" t="n"/>
      <c r="B242" s="31" t="n"/>
      <c r="C242" s="28" t="n"/>
      <c r="D242" s="28" t="n"/>
      <c r="E242" s="28" t="n"/>
      <c r="F242" s="28" t="n"/>
      <c r="G242" s="28" t="n"/>
      <c r="H242" s="32">
        <f>IF(A242="","",SUMIFS(Detalle!$D$5:$D$300,Detalle!$A$5:$A$300,A242))</f>
        <v/>
      </c>
      <c r="I242" s="33">
        <f>IF(A242="","",SUMIFS(Detalle!$F$5:$F$300,Detalle!$A$5:$A$300,A242))</f>
        <v/>
      </c>
      <c r="J242" s="34" t="n"/>
      <c r="K242" s="33">
        <f>IF(A242="","",I242+N(J242))</f>
        <v/>
      </c>
      <c r="L242" s="28" t="n"/>
      <c r="M242" s="28" t="n"/>
    </row>
    <row r="243" ht="15" customHeight="1" s="19">
      <c r="A243" s="28" t="n"/>
      <c r="B243" s="31" t="n"/>
      <c r="C243" s="28" t="n"/>
      <c r="D243" s="28" t="n"/>
      <c r="E243" s="28" t="n"/>
      <c r="F243" s="28" t="n"/>
      <c r="G243" s="28" t="n"/>
      <c r="H243" s="32">
        <f>IF(A243="","",SUMIFS(Detalle!$D$5:$D$300,Detalle!$A$5:$A$300,A243))</f>
        <v/>
      </c>
      <c r="I243" s="33">
        <f>IF(A243="","",SUMIFS(Detalle!$F$5:$F$300,Detalle!$A$5:$A$300,A243))</f>
        <v/>
      </c>
      <c r="J243" s="34" t="n"/>
      <c r="K243" s="33">
        <f>IF(A243="","",I243+N(J243))</f>
        <v/>
      </c>
      <c r="L243" s="28" t="n"/>
      <c r="M243" s="28" t="n"/>
    </row>
    <row r="244" ht="15" customHeight="1" s="19">
      <c r="A244" s="28" t="n"/>
      <c r="B244" s="31" t="n"/>
      <c r="C244" s="28" t="n"/>
      <c r="D244" s="28" t="n"/>
      <c r="E244" s="28" t="n"/>
      <c r="F244" s="28" t="n"/>
      <c r="G244" s="28" t="n"/>
      <c r="H244" s="32">
        <f>IF(A244="","",SUMIFS(Detalle!$D$5:$D$300,Detalle!$A$5:$A$300,A244))</f>
        <v/>
      </c>
      <c r="I244" s="33">
        <f>IF(A244="","",SUMIFS(Detalle!$F$5:$F$300,Detalle!$A$5:$A$300,A244))</f>
        <v/>
      </c>
      <c r="J244" s="34" t="n"/>
      <c r="K244" s="33">
        <f>IF(A244="","",I244+N(J244))</f>
        <v/>
      </c>
      <c r="L244" s="28" t="n"/>
      <c r="M244" s="28" t="n"/>
    </row>
    <row r="245" ht="15" customHeight="1" s="19">
      <c r="A245" s="28" t="n"/>
      <c r="B245" s="31" t="n"/>
      <c r="C245" s="28" t="n"/>
      <c r="D245" s="28" t="n"/>
      <c r="E245" s="28" t="n"/>
      <c r="F245" s="28" t="n"/>
      <c r="G245" s="28" t="n"/>
      <c r="H245" s="32">
        <f>IF(A245="","",SUMIFS(Detalle!$D$5:$D$300,Detalle!$A$5:$A$300,A245))</f>
        <v/>
      </c>
      <c r="I245" s="33">
        <f>IF(A245="","",SUMIFS(Detalle!$F$5:$F$300,Detalle!$A$5:$A$300,A245))</f>
        <v/>
      </c>
      <c r="J245" s="34" t="n"/>
      <c r="K245" s="33">
        <f>IF(A245="","",I245+N(J245))</f>
        <v/>
      </c>
      <c r="L245" s="28" t="n"/>
      <c r="M245" s="28" t="n"/>
    </row>
    <row r="246" ht="15" customHeight="1" s="19">
      <c r="A246" s="28" t="n"/>
      <c r="B246" s="31" t="n"/>
      <c r="C246" s="28" t="n"/>
      <c r="D246" s="28" t="n"/>
      <c r="E246" s="28" t="n"/>
      <c r="F246" s="28" t="n"/>
      <c r="G246" s="28" t="n"/>
      <c r="H246" s="32">
        <f>IF(A246="","",SUMIFS(Detalle!$D$5:$D$300,Detalle!$A$5:$A$300,A246))</f>
        <v/>
      </c>
      <c r="I246" s="33">
        <f>IF(A246="","",SUMIFS(Detalle!$F$5:$F$300,Detalle!$A$5:$A$300,A246))</f>
        <v/>
      </c>
      <c r="J246" s="34" t="n"/>
      <c r="K246" s="33">
        <f>IF(A246="","",I246+N(J246))</f>
        <v/>
      </c>
      <c r="L246" s="28" t="n"/>
      <c r="M246" s="28" t="n"/>
    </row>
    <row r="247" ht="15" customHeight="1" s="19">
      <c r="A247" s="28" t="n"/>
      <c r="B247" s="31" t="n"/>
      <c r="C247" s="28" t="n"/>
      <c r="D247" s="28" t="n"/>
      <c r="E247" s="28" t="n"/>
      <c r="F247" s="28" t="n"/>
      <c r="G247" s="28" t="n"/>
      <c r="H247" s="32">
        <f>IF(A247="","",SUMIFS(Detalle!$D$5:$D$300,Detalle!$A$5:$A$300,A247))</f>
        <v/>
      </c>
      <c r="I247" s="33">
        <f>IF(A247="","",SUMIFS(Detalle!$F$5:$F$300,Detalle!$A$5:$A$300,A247))</f>
        <v/>
      </c>
      <c r="J247" s="34" t="n"/>
      <c r="K247" s="33">
        <f>IF(A247="","",I247+N(J247))</f>
        <v/>
      </c>
      <c r="L247" s="28" t="n"/>
      <c r="M247" s="28" t="n"/>
    </row>
    <row r="248" ht="15" customHeight="1" s="19">
      <c r="A248" s="28" t="n"/>
      <c r="B248" s="31" t="n"/>
      <c r="C248" s="28" t="n"/>
      <c r="D248" s="28" t="n"/>
      <c r="E248" s="28" t="n"/>
      <c r="F248" s="28" t="n"/>
      <c r="G248" s="28" t="n"/>
      <c r="H248" s="32">
        <f>IF(A248="","",SUMIFS(Detalle!$D$5:$D$300,Detalle!$A$5:$A$300,A248))</f>
        <v/>
      </c>
      <c r="I248" s="33">
        <f>IF(A248="","",SUMIFS(Detalle!$F$5:$F$300,Detalle!$A$5:$A$300,A248))</f>
        <v/>
      </c>
      <c r="J248" s="34" t="n"/>
      <c r="K248" s="33">
        <f>IF(A248="","",I248+N(J248))</f>
        <v/>
      </c>
      <c r="L248" s="28" t="n"/>
      <c r="M248" s="28" t="n"/>
    </row>
    <row r="249" ht="15" customHeight="1" s="19">
      <c r="A249" s="28" t="n"/>
      <c r="B249" s="31" t="n"/>
      <c r="C249" s="28" t="n"/>
      <c r="D249" s="28" t="n"/>
      <c r="E249" s="28" t="n"/>
      <c r="F249" s="28" t="n"/>
      <c r="G249" s="28" t="n"/>
      <c r="H249" s="32">
        <f>IF(A249="","",SUMIFS(Detalle!$D$5:$D$300,Detalle!$A$5:$A$300,A249))</f>
        <v/>
      </c>
      <c r="I249" s="33">
        <f>IF(A249="","",SUMIFS(Detalle!$F$5:$F$300,Detalle!$A$5:$A$300,A249))</f>
        <v/>
      </c>
      <c r="J249" s="34" t="n"/>
      <c r="K249" s="33">
        <f>IF(A249="","",I249+N(J249))</f>
        <v/>
      </c>
      <c r="L249" s="28" t="n"/>
      <c r="M249" s="28" t="n"/>
    </row>
    <row r="250" ht="15" customHeight="1" s="19">
      <c r="A250" s="28" t="n"/>
      <c r="B250" s="31" t="n"/>
      <c r="C250" s="28" t="n"/>
      <c r="D250" s="28" t="n"/>
      <c r="E250" s="28" t="n"/>
      <c r="F250" s="28" t="n"/>
      <c r="G250" s="28" t="n"/>
      <c r="H250" s="32">
        <f>IF(A250="","",SUMIFS(Detalle!$D$5:$D$300,Detalle!$A$5:$A$300,A250))</f>
        <v/>
      </c>
      <c r="I250" s="33">
        <f>IF(A250="","",SUMIFS(Detalle!$F$5:$F$300,Detalle!$A$5:$A$300,A250))</f>
        <v/>
      </c>
      <c r="J250" s="34" t="n"/>
      <c r="K250" s="33">
        <f>IF(A250="","",I250+N(J250))</f>
        <v/>
      </c>
      <c r="L250" s="28" t="n"/>
      <c r="M250" s="28" t="n"/>
    </row>
    <row r="251" ht="15" customHeight="1" s="19">
      <c r="A251" s="28" t="n"/>
      <c r="B251" s="31" t="n"/>
      <c r="C251" s="28" t="n"/>
      <c r="D251" s="28" t="n"/>
      <c r="E251" s="28" t="n"/>
      <c r="F251" s="28" t="n"/>
      <c r="G251" s="28" t="n"/>
      <c r="H251" s="32">
        <f>IF(A251="","",SUMIFS(Detalle!$D$5:$D$300,Detalle!$A$5:$A$300,A251))</f>
        <v/>
      </c>
      <c r="I251" s="33">
        <f>IF(A251="","",SUMIFS(Detalle!$F$5:$F$300,Detalle!$A$5:$A$300,A251))</f>
        <v/>
      </c>
      <c r="J251" s="34" t="n"/>
      <c r="K251" s="33">
        <f>IF(A251="","",I251+N(J251))</f>
        <v/>
      </c>
      <c r="L251" s="28" t="n"/>
      <c r="M251" s="28" t="n"/>
    </row>
    <row r="252" ht="15" customHeight="1" s="19">
      <c r="A252" s="28" t="n"/>
      <c r="B252" s="31" t="n"/>
      <c r="C252" s="28" t="n"/>
      <c r="D252" s="28" t="n"/>
      <c r="E252" s="28" t="n"/>
      <c r="F252" s="28" t="n"/>
      <c r="G252" s="28" t="n"/>
      <c r="H252" s="32">
        <f>IF(A252="","",SUMIFS(Detalle!$D$5:$D$300,Detalle!$A$5:$A$300,A252))</f>
        <v/>
      </c>
      <c r="I252" s="33">
        <f>IF(A252="","",SUMIFS(Detalle!$F$5:$F$300,Detalle!$A$5:$A$300,A252))</f>
        <v/>
      </c>
      <c r="J252" s="34" t="n"/>
      <c r="K252" s="33">
        <f>IF(A252="","",I252+N(J252))</f>
        <v/>
      </c>
      <c r="L252" s="28" t="n"/>
      <c r="M252" s="28" t="n"/>
    </row>
    <row r="253" ht="15" customHeight="1" s="19">
      <c r="A253" s="28" t="n"/>
      <c r="B253" s="31" t="n"/>
      <c r="C253" s="28" t="n"/>
      <c r="D253" s="28" t="n"/>
      <c r="E253" s="28" t="n"/>
      <c r="F253" s="28" t="n"/>
      <c r="G253" s="28" t="n"/>
      <c r="H253" s="32">
        <f>IF(A253="","",SUMIFS(Detalle!$D$5:$D$300,Detalle!$A$5:$A$300,A253))</f>
        <v/>
      </c>
      <c r="I253" s="33">
        <f>IF(A253="","",SUMIFS(Detalle!$F$5:$F$300,Detalle!$A$5:$A$300,A253))</f>
        <v/>
      </c>
      <c r="J253" s="34" t="n"/>
      <c r="K253" s="33">
        <f>IF(A253="","",I253+N(J253))</f>
        <v/>
      </c>
      <c r="L253" s="28" t="n"/>
      <c r="M253" s="28" t="n"/>
    </row>
    <row r="254" ht="15" customHeight="1" s="19">
      <c r="A254" s="28" t="n"/>
      <c r="B254" s="31" t="n"/>
      <c r="C254" s="28" t="n"/>
      <c r="D254" s="28" t="n"/>
      <c r="E254" s="28" t="n"/>
      <c r="F254" s="28" t="n"/>
      <c r="G254" s="28" t="n"/>
      <c r="H254" s="32">
        <f>IF(A254="","",SUMIFS(Detalle!$D$5:$D$300,Detalle!$A$5:$A$300,A254))</f>
        <v/>
      </c>
      <c r="I254" s="33">
        <f>IF(A254="","",SUMIFS(Detalle!$F$5:$F$300,Detalle!$A$5:$A$300,A254))</f>
        <v/>
      </c>
      <c r="J254" s="34" t="n"/>
      <c r="K254" s="33">
        <f>IF(A254="","",I254+N(J254))</f>
        <v/>
      </c>
      <c r="L254" s="28" t="n"/>
      <c r="M254" s="28" t="n"/>
    </row>
    <row r="255" ht="15" customHeight="1" s="19">
      <c r="A255" s="28" t="n"/>
      <c r="B255" s="31" t="n"/>
      <c r="C255" s="28" t="n"/>
      <c r="D255" s="28" t="n"/>
      <c r="E255" s="28" t="n"/>
      <c r="F255" s="28" t="n"/>
      <c r="G255" s="28" t="n"/>
      <c r="H255" s="32">
        <f>IF(A255="","",SUMIFS(Detalle!$D$5:$D$300,Detalle!$A$5:$A$300,A255))</f>
        <v/>
      </c>
      <c r="I255" s="33">
        <f>IF(A255="","",SUMIFS(Detalle!$F$5:$F$300,Detalle!$A$5:$A$300,A255))</f>
        <v/>
      </c>
      <c r="J255" s="34" t="n"/>
      <c r="K255" s="33">
        <f>IF(A255="","",I255+N(J255))</f>
        <v/>
      </c>
      <c r="L255" s="28" t="n"/>
      <c r="M255" s="28" t="n"/>
    </row>
    <row r="256" ht="15" customHeight="1" s="19">
      <c r="A256" s="28" t="n"/>
      <c r="B256" s="31" t="n"/>
      <c r="C256" s="28" t="n"/>
      <c r="D256" s="28" t="n"/>
      <c r="E256" s="28" t="n"/>
      <c r="F256" s="28" t="n"/>
      <c r="G256" s="28" t="n"/>
      <c r="H256" s="32">
        <f>IF(A256="","",SUMIFS(Detalle!$D$5:$D$300,Detalle!$A$5:$A$300,A256))</f>
        <v/>
      </c>
      <c r="I256" s="33">
        <f>IF(A256="","",SUMIFS(Detalle!$F$5:$F$300,Detalle!$A$5:$A$300,A256))</f>
        <v/>
      </c>
      <c r="J256" s="34" t="n"/>
      <c r="K256" s="33">
        <f>IF(A256="","",I256+N(J256))</f>
        <v/>
      </c>
      <c r="L256" s="28" t="n"/>
      <c r="M256" s="28" t="n"/>
    </row>
    <row r="257" ht="15" customHeight="1" s="19">
      <c r="A257" s="28" t="n"/>
      <c r="B257" s="31" t="n"/>
      <c r="C257" s="28" t="n"/>
      <c r="D257" s="28" t="n"/>
      <c r="E257" s="28" t="n"/>
      <c r="F257" s="28" t="n"/>
      <c r="G257" s="28" t="n"/>
      <c r="H257" s="32">
        <f>IF(A257="","",SUMIFS(Detalle!$D$5:$D$300,Detalle!$A$5:$A$300,A257))</f>
        <v/>
      </c>
      <c r="I257" s="33">
        <f>IF(A257="","",SUMIFS(Detalle!$F$5:$F$300,Detalle!$A$5:$A$300,A257))</f>
        <v/>
      </c>
      <c r="J257" s="34" t="n"/>
      <c r="K257" s="33">
        <f>IF(A257="","",I257+N(J257))</f>
        <v/>
      </c>
      <c r="L257" s="28" t="n"/>
      <c r="M257" s="28" t="n"/>
    </row>
    <row r="258" ht="15" customHeight="1" s="19">
      <c r="A258" s="28" t="n"/>
      <c r="B258" s="31" t="n"/>
      <c r="C258" s="28" t="n"/>
      <c r="D258" s="28" t="n"/>
      <c r="E258" s="28" t="n"/>
      <c r="F258" s="28" t="n"/>
      <c r="G258" s="28" t="n"/>
      <c r="H258" s="32">
        <f>IF(A258="","",SUMIFS(Detalle!$D$5:$D$300,Detalle!$A$5:$A$300,A258))</f>
        <v/>
      </c>
      <c r="I258" s="33">
        <f>IF(A258="","",SUMIFS(Detalle!$F$5:$F$300,Detalle!$A$5:$A$300,A258))</f>
        <v/>
      </c>
      <c r="J258" s="34" t="n"/>
      <c r="K258" s="33">
        <f>IF(A258="","",I258+N(J258))</f>
        <v/>
      </c>
      <c r="L258" s="28" t="n"/>
      <c r="M258" s="28" t="n"/>
    </row>
    <row r="259" ht="15" customHeight="1" s="19">
      <c r="A259" s="28" t="n"/>
      <c r="B259" s="31" t="n"/>
      <c r="C259" s="28" t="n"/>
      <c r="D259" s="28" t="n"/>
      <c r="E259" s="28" t="n"/>
      <c r="F259" s="28" t="n"/>
      <c r="G259" s="28" t="n"/>
      <c r="H259" s="32">
        <f>IF(A259="","",SUMIFS(Detalle!$D$5:$D$300,Detalle!$A$5:$A$300,A259))</f>
        <v/>
      </c>
      <c r="I259" s="33">
        <f>IF(A259="","",SUMIFS(Detalle!$F$5:$F$300,Detalle!$A$5:$A$300,A259))</f>
        <v/>
      </c>
      <c r="J259" s="34" t="n"/>
      <c r="K259" s="33">
        <f>IF(A259="","",I259+N(J259))</f>
        <v/>
      </c>
      <c r="L259" s="28" t="n"/>
      <c r="M259" s="28" t="n"/>
    </row>
    <row r="260" ht="15" customHeight="1" s="19">
      <c r="A260" s="28" t="n"/>
      <c r="B260" s="31" t="n"/>
      <c r="C260" s="28" t="n"/>
      <c r="D260" s="28" t="n"/>
      <c r="E260" s="28" t="n"/>
      <c r="F260" s="28" t="n"/>
      <c r="G260" s="28" t="n"/>
      <c r="H260" s="32">
        <f>IF(A260="","",SUMIFS(Detalle!$D$5:$D$300,Detalle!$A$5:$A$300,A260))</f>
        <v/>
      </c>
      <c r="I260" s="33">
        <f>IF(A260="","",SUMIFS(Detalle!$F$5:$F$300,Detalle!$A$5:$A$300,A260))</f>
        <v/>
      </c>
      <c r="J260" s="34" t="n"/>
      <c r="K260" s="33">
        <f>IF(A260="","",I260+N(J260))</f>
        <v/>
      </c>
      <c r="L260" s="28" t="n"/>
      <c r="M260" s="28" t="n"/>
    </row>
    <row r="261" ht="15" customHeight="1" s="19">
      <c r="A261" s="28" t="n"/>
      <c r="B261" s="31" t="n"/>
      <c r="C261" s="28" t="n"/>
      <c r="D261" s="28" t="n"/>
      <c r="E261" s="28" t="n"/>
      <c r="F261" s="28" t="n"/>
      <c r="G261" s="28" t="n"/>
      <c r="H261" s="32">
        <f>IF(A261="","",SUMIFS(Detalle!$D$5:$D$300,Detalle!$A$5:$A$300,A261))</f>
        <v/>
      </c>
      <c r="I261" s="33">
        <f>IF(A261="","",SUMIFS(Detalle!$F$5:$F$300,Detalle!$A$5:$A$300,A261))</f>
        <v/>
      </c>
      <c r="J261" s="34" t="n"/>
      <c r="K261" s="33">
        <f>IF(A261="","",I261+N(J261))</f>
        <v/>
      </c>
      <c r="L261" s="28" t="n"/>
      <c r="M261" s="28" t="n"/>
    </row>
    <row r="262" ht="15" customHeight="1" s="19">
      <c r="A262" s="28" t="n"/>
      <c r="B262" s="31" t="n"/>
      <c r="C262" s="28" t="n"/>
      <c r="D262" s="28" t="n"/>
      <c r="E262" s="28" t="n"/>
      <c r="F262" s="28" t="n"/>
      <c r="G262" s="28" t="n"/>
      <c r="H262" s="32">
        <f>IF(A262="","",SUMIFS(Detalle!$D$5:$D$300,Detalle!$A$5:$A$300,A262))</f>
        <v/>
      </c>
      <c r="I262" s="33">
        <f>IF(A262="","",SUMIFS(Detalle!$F$5:$F$300,Detalle!$A$5:$A$300,A262))</f>
        <v/>
      </c>
      <c r="J262" s="34" t="n"/>
      <c r="K262" s="33">
        <f>IF(A262="","",I262+N(J262))</f>
        <v/>
      </c>
      <c r="L262" s="28" t="n"/>
      <c r="M262" s="28" t="n"/>
    </row>
    <row r="263" ht="15" customHeight="1" s="19">
      <c r="A263" s="28" t="n"/>
      <c r="B263" s="31" t="n"/>
      <c r="C263" s="28" t="n"/>
      <c r="D263" s="28" t="n"/>
      <c r="E263" s="28" t="n"/>
      <c r="F263" s="28" t="n"/>
      <c r="G263" s="28" t="n"/>
      <c r="H263" s="32">
        <f>IF(A263="","",SUMIFS(Detalle!$D$5:$D$300,Detalle!$A$5:$A$300,A263))</f>
        <v/>
      </c>
      <c r="I263" s="33">
        <f>IF(A263="","",SUMIFS(Detalle!$F$5:$F$300,Detalle!$A$5:$A$300,A263))</f>
        <v/>
      </c>
      <c r="J263" s="34" t="n"/>
      <c r="K263" s="33">
        <f>IF(A263="","",I263+N(J263))</f>
        <v/>
      </c>
      <c r="L263" s="28" t="n"/>
      <c r="M263" s="28" t="n"/>
    </row>
    <row r="264" ht="15" customHeight="1" s="19">
      <c r="A264" s="28" t="n"/>
      <c r="B264" s="31" t="n"/>
      <c r="C264" s="28" t="n"/>
      <c r="D264" s="28" t="n"/>
      <c r="E264" s="28" t="n"/>
      <c r="F264" s="28" t="n"/>
      <c r="G264" s="28" t="n"/>
      <c r="H264" s="32">
        <f>IF(A264="","",SUMIFS(Detalle!$D$5:$D$300,Detalle!$A$5:$A$300,A264))</f>
        <v/>
      </c>
      <c r="I264" s="33">
        <f>IF(A264="","",SUMIFS(Detalle!$F$5:$F$300,Detalle!$A$5:$A$300,A264))</f>
        <v/>
      </c>
      <c r="J264" s="34" t="n"/>
      <c r="K264" s="33">
        <f>IF(A264="","",I264+N(J264))</f>
        <v/>
      </c>
      <c r="L264" s="28" t="n"/>
      <c r="M264" s="28" t="n"/>
    </row>
    <row r="265" ht="15" customHeight="1" s="19">
      <c r="A265" s="28" t="n"/>
      <c r="B265" s="31" t="n"/>
      <c r="C265" s="28" t="n"/>
      <c r="D265" s="28" t="n"/>
      <c r="E265" s="28" t="n"/>
      <c r="F265" s="28" t="n"/>
      <c r="G265" s="28" t="n"/>
      <c r="H265" s="32">
        <f>IF(A265="","",SUMIFS(Detalle!$D$5:$D$300,Detalle!$A$5:$A$300,A265))</f>
        <v/>
      </c>
      <c r="I265" s="33">
        <f>IF(A265="","",SUMIFS(Detalle!$F$5:$F$300,Detalle!$A$5:$A$300,A265))</f>
        <v/>
      </c>
      <c r="J265" s="34" t="n"/>
      <c r="K265" s="33">
        <f>IF(A265="","",I265+N(J265))</f>
        <v/>
      </c>
      <c r="L265" s="28" t="n"/>
      <c r="M265" s="28" t="n"/>
    </row>
    <row r="266" ht="15" customHeight="1" s="19">
      <c r="A266" s="28" t="n"/>
      <c r="B266" s="31" t="n"/>
      <c r="C266" s="28" t="n"/>
      <c r="D266" s="28" t="n"/>
      <c r="E266" s="28" t="n"/>
      <c r="F266" s="28" t="n"/>
      <c r="G266" s="28" t="n"/>
      <c r="H266" s="32">
        <f>IF(A266="","",SUMIFS(Detalle!$D$5:$D$300,Detalle!$A$5:$A$300,A266))</f>
        <v/>
      </c>
      <c r="I266" s="33">
        <f>IF(A266="","",SUMIFS(Detalle!$F$5:$F$300,Detalle!$A$5:$A$300,A266))</f>
        <v/>
      </c>
      <c r="J266" s="34" t="n"/>
      <c r="K266" s="33">
        <f>IF(A266="","",I266+N(J266))</f>
        <v/>
      </c>
      <c r="L266" s="28" t="n"/>
      <c r="M266" s="28" t="n"/>
    </row>
    <row r="267" ht="15" customHeight="1" s="19">
      <c r="A267" s="28" t="n"/>
      <c r="B267" s="31" t="n"/>
      <c r="C267" s="28" t="n"/>
      <c r="D267" s="28" t="n"/>
      <c r="E267" s="28" t="n"/>
      <c r="F267" s="28" t="n"/>
      <c r="G267" s="28" t="n"/>
      <c r="H267" s="32">
        <f>IF(A267="","",SUMIFS(Detalle!$D$5:$D$300,Detalle!$A$5:$A$300,A267))</f>
        <v/>
      </c>
      <c r="I267" s="33">
        <f>IF(A267="","",SUMIFS(Detalle!$F$5:$F$300,Detalle!$A$5:$A$300,A267))</f>
        <v/>
      </c>
      <c r="J267" s="34" t="n"/>
      <c r="K267" s="33">
        <f>IF(A267="","",I267+N(J267))</f>
        <v/>
      </c>
      <c r="L267" s="28" t="n"/>
      <c r="M267" s="28" t="n"/>
    </row>
    <row r="268" ht="15" customHeight="1" s="19">
      <c r="A268" s="28" t="n"/>
      <c r="B268" s="31" t="n"/>
      <c r="C268" s="28" t="n"/>
      <c r="D268" s="28" t="n"/>
      <c r="E268" s="28" t="n"/>
      <c r="F268" s="28" t="n"/>
      <c r="G268" s="28" t="n"/>
      <c r="H268" s="32">
        <f>IF(A268="","",SUMIFS(Detalle!$D$5:$D$300,Detalle!$A$5:$A$300,A268))</f>
        <v/>
      </c>
      <c r="I268" s="33">
        <f>IF(A268="","",SUMIFS(Detalle!$F$5:$F$300,Detalle!$A$5:$A$300,A268))</f>
        <v/>
      </c>
      <c r="J268" s="34" t="n"/>
      <c r="K268" s="33">
        <f>IF(A268="","",I268+N(J268))</f>
        <v/>
      </c>
      <c r="L268" s="28" t="n"/>
      <c r="M268" s="28" t="n"/>
    </row>
    <row r="269" ht="15" customHeight="1" s="19">
      <c r="A269" s="28" t="n"/>
      <c r="B269" s="31" t="n"/>
      <c r="C269" s="28" t="n"/>
      <c r="D269" s="28" t="n"/>
      <c r="E269" s="28" t="n"/>
      <c r="F269" s="28" t="n"/>
      <c r="G269" s="28" t="n"/>
      <c r="H269" s="32">
        <f>IF(A269="","",SUMIFS(Detalle!$D$5:$D$300,Detalle!$A$5:$A$300,A269))</f>
        <v/>
      </c>
      <c r="I269" s="33">
        <f>IF(A269="","",SUMIFS(Detalle!$F$5:$F$300,Detalle!$A$5:$A$300,A269))</f>
        <v/>
      </c>
      <c r="J269" s="34" t="n"/>
      <c r="K269" s="33">
        <f>IF(A269="","",I269+N(J269))</f>
        <v/>
      </c>
      <c r="L269" s="28" t="n"/>
      <c r="M269" s="28" t="n"/>
    </row>
    <row r="270" ht="15" customHeight="1" s="19">
      <c r="A270" s="28" t="n"/>
      <c r="B270" s="31" t="n"/>
      <c r="C270" s="28" t="n"/>
      <c r="D270" s="28" t="n"/>
      <c r="E270" s="28" t="n"/>
      <c r="F270" s="28" t="n"/>
      <c r="G270" s="28" t="n"/>
      <c r="H270" s="32">
        <f>IF(A270="","",SUMIFS(Detalle!$D$5:$D$300,Detalle!$A$5:$A$300,A270))</f>
        <v/>
      </c>
      <c r="I270" s="33">
        <f>IF(A270="","",SUMIFS(Detalle!$F$5:$F$300,Detalle!$A$5:$A$300,A270))</f>
        <v/>
      </c>
      <c r="J270" s="34" t="n"/>
      <c r="K270" s="33">
        <f>IF(A270="","",I270+N(J270))</f>
        <v/>
      </c>
      <c r="L270" s="28" t="n"/>
      <c r="M270" s="28" t="n"/>
    </row>
    <row r="271" ht="15" customHeight="1" s="19">
      <c r="A271" s="28" t="n"/>
      <c r="B271" s="31" t="n"/>
      <c r="C271" s="28" t="n"/>
      <c r="D271" s="28" t="n"/>
      <c r="E271" s="28" t="n"/>
      <c r="F271" s="28" t="n"/>
      <c r="G271" s="28" t="n"/>
      <c r="H271" s="32">
        <f>IF(A271="","",SUMIFS(Detalle!$D$5:$D$300,Detalle!$A$5:$A$300,A271))</f>
        <v/>
      </c>
      <c r="I271" s="33">
        <f>IF(A271="","",SUMIFS(Detalle!$F$5:$F$300,Detalle!$A$5:$A$300,A271))</f>
        <v/>
      </c>
      <c r="J271" s="34" t="n"/>
      <c r="K271" s="33">
        <f>IF(A271="","",I271+N(J271))</f>
        <v/>
      </c>
      <c r="L271" s="28" t="n"/>
      <c r="M271" s="28" t="n"/>
    </row>
    <row r="272" ht="15" customHeight="1" s="19">
      <c r="A272" s="28" t="n"/>
      <c r="B272" s="31" t="n"/>
      <c r="C272" s="28" t="n"/>
      <c r="D272" s="28" t="n"/>
      <c r="E272" s="28" t="n"/>
      <c r="F272" s="28" t="n"/>
      <c r="G272" s="28" t="n"/>
      <c r="H272" s="32">
        <f>IF(A272="","",SUMIFS(Detalle!$D$5:$D$300,Detalle!$A$5:$A$300,A272))</f>
        <v/>
      </c>
      <c r="I272" s="33">
        <f>IF(A272="","",SUMIFS(Detalle!$F$5:$F$300,Detalle!$A$5:$A$300,A272))</f>
        <v/>
      </c>
      <c r="J272" s="34" t="n"/>
      <c r="K272" s="33">
        <f>IF(A272="","",I272+N(J272))</f>
        <v/>
      </c>
      <c r="L272" s="28" t="n"/>
      <c r="M272" s="28" t="n"/>
    </row>
    <row r="273" ht="15" customHeight="1" s="19">
      <c r="A273" s="28" t="n"/>
      <c r="B273" s="31" t="n"/>
      <c r="C273" s="28" t="n"/>
      <c r="D273" s="28" t="n"/>
      <c r="E273" s="28" t="n"/>
      <c r="F273" s="28" t="n"/>
      <c r="G273" s="28" t="n"/>
      <c r="H273" s="32">
        <f>IF(A273="","",SUMIFS(Detalle!$D$5:$D$300,Detalle!$A$5:$A$300,A273))</f>
        <v/>
      </c>
      <c r="I273" s="33">
        <f>IF(A273="","",SUMIFS(Detalle!$F$5:$F$300,Detalle!$A$5:$A$300,A273))</f>
        <v/>
      </c>
      <c r="J273" s="34" t="n"/>
      <c r="K273" s="33">
        <f>IF(A273="","",I273+N(J273))</f>
        <v/>
      </c>
      <c r="L273" s="28" t="n"/>
      <c r="M273" s="28" t="n"/>
    </row>
    <row r="274" ht="15" customHeight="1" s="19">
      <c r="A274" s="28" t="n"/>
      <c r="B274" s="31" t="n"/>
      <c r="C274" s="28" t="n"/>
      <c r="D274" s="28" t="n"/>
      <c r="E274" s="28" t="n"/>
      <c r="F274" s="28" t="n"/>
      <c r="G274" s="28" t="n"/>
      <c r="H274" s="32">
        <f>IF(A274="","",SUMIFS(Detalle!$D$5:$D$300,Detalle!$A$5:$A$300,A274))</f>
        <v/>
      </c>
      <c r="I274" s="33">
        <f>IF(A274="","",SUMIFS(Detalle!$F$5:$F$300,Detalle!$A$5:$A$300,A274))</f>
        <v/>
      </c>
      <c r="J274" s="34" t="n"/>
      <c r="K274" s="33">
        <f>IF(A274="","",I274+N(J274))</f>
        <v/>
      </c>
      <c r="L274" s="28" t="n"/>
      <c r="M274" s="28" t="n"/>
    </row>
    <row r="275" ht="15" customHeight="1" s="19">
      <c r="A275" s="28" t="n"/>
      <c r="B275" s="31" t="n"/>
      <c r="C275" s="28" t="n"/>
      <c r="D275" s="28" t="n"/>
      <c r="E275" s="28" t="n"/>
      <c r="F275" s="28" t="n"/>
      <c r="G275" s="28" t="n"/>
      <c r="H275" s="32">
        <f>IF(A275="","",SUMIFS(Detalle!$D$5:$D$300,Detalle!$A$5:$A$300,A275))</f>
        <v/>
      </c>
      <c r="I275" s="33">
        <f>IF(A275="","",SUMIFS(Detalle!$F$5:$F$300,Detalle!$A$5:$A$300,A275))</f>
        <v/>
      </c>
      <c r="J275" s="34" t="n"/>
      <c r="K275" s="33">
        <f>IF(A275="","",I275+N(J275))</f>
        <v/>
      </c>
      <c r="L275" s="28" t="n"/>
      <c r="M275" s="28" t="n"/>
    </row>
    <row r="276" ht="15" customHeight="1" s="19">
      <c r="A276" s="28" t="n"/>
      <c r="B276" s="31" t="n"/>
      <c r="C276" s="28" t="n"/>
      <c r="D276" s="28" t="n"/>
      <c r="E276" s="28" t="n"/>
      <c r="F276" s="28" t="n"/>
      <c r="G276" s="28" t="n"/>
      <c r="H276" s="32">
        <f>IF(A276="","",SUMIFS(Detalle!$D$5:$D$300,Detalle!$A$5:$A$300,A276))</f>
        <v/>
      </c>
      <c r="I276" s="33">
        <f>IF(A276="","",SUMIFS(Detalle!$F$5:$F$300,Detalle!$A$5:$A$300,A276))</f>
        <v/>
      </c>
      <c r="J276" s="34" t="n"/>
      <c r="K276" s="33">
        <f>IF(A276="","",I276+N(J276))</f>
        <v/>
      </c>
      <c r="L276" s="28" t="n"/>
      <c r="M276" s="28" t="n"/>
    </row>
    <row r="277" ht="15" customHeight="1" s="19">
      <c r="A277" s="28" t="n"/>
      <c r="B277" s="31" t="n"/>
      <c r="C277" s="28" t="n"/>
      <c r="D277" s="28" t="n"/>
      <c r="E277" s="28" t="n"/>
      <c r="F277" s="28" t="n"/>
      <c r="G277" s="28" t="n"/>
      <c r="H277" s="32">
        <f>IF(A277="","",SUMIFS(Detalle!$D$5:$D$300,Detalle!$A$5:$A$300,A277))</f>
        <v/>
      </c>
      <c r="I277" s="33">
        <f>IF(A277="","",SUMIFS(Detalle!$F$5:$F$300,Detalle!$A$5:$A$300,A277))</f>
        <v/>
      </c>
      <c r="J277" s="34" t="n"/>
      <c r="K277" s="33">
        <f>IF(A277="","",I277+N(J277))</f>
        <v/>
      </c>
      <c r="L277" s="28" t="n"/>
      <c r="M277" s="28" t="n"/>
    </row>
    <row r="278" ht="15" customHeight="1" s="19">
      <c r="A278" s="28" t="n"/>
      <c r="B278" s="31" t="n"/>
      <c r="C278" s="28" t="n"/>
      <c r="D278" s="28" t="n"/>
      <c r="E278" s="28" t="n"/>
      <c r="F278" s="28" t="n"/>
      <c r="G278" s="28" t="n"/>
      <c r="H278" s="32">
        <f>IF(A278="","",SUMIFS(Detalle!$D$5:$D$300,Detalle!$A$5:$A$300,A278))</f>
        <v/>
      </c>
      <c r="I278" s="33">
        <f>IF(A278="","",SUMIFS(Detalle!$F$5:$F$300,Detalle!$A$5:$A$300,A278))</f>
        <v/>
      </c>
      <c r="J278" s="34" t="n"/>
      <c r="K278" s="33">
        <f>IF(A278="","",I278+N(J278))</f>
        <v/>
      </c>
      <c r="L278" s="28" t="n"/>
      <c r="M278" s="28" t="n"/>
    </row>
    <row r="279" ht="15" customHeight="1" s="19">
      <c r="A279" s="28" t="n"/>
      <c r="B279" s="31" t="n"/>
      <c r="C279" s="28" t="n"/>
      <c r="D279" s="28" t="n"/>
      <c r="E279" s="28" t="n"/>
      <c r="F279" s="28" t="n"/>
      <c r="G279" s="28" t="n"/>
      <c r="H279" s="32">
        <f>IF(A279="","",SUMIFS(Detalle!$D$5:$D$300,Detalle!$A$5:$A$300,A279))</f>
        <v/>
      </c>
      <c r="I279" s="33">
        <f>IF(A279="","",SUMIFS(Detalle!$F$5:$F$300,Detalle!$A$5:$A$300,A279))</f>
        <v/>
      </c>
      <c r="J279" s="34" t="n"/>
      <c r="K279" s="33">
        <f>IF(A279="","",I279+N(J279))</f>
        <v/>
      </c>
      <c r="L279" s="28" t="n"/>
      <c r="M279" s="28" t="n"/>
    </row>
    <row r="280" ht="15" customHeight="1" s="19">
      <c r="A280" s="28" t="n"/>
      <c r="B280" s="31" t="n"/>
      <c r="C280" s="28" t="n"/>
      <c r="D280" s="28" t="n"/>
      <c r="E280" s="28" t="n"/>
      <c r="F280" s="28" t="n"/>
      <c r="G280" s="28" t="n"/>
      <c r="H280" s="32">
        <f>IF(A280="","",SUMIFS(Detalle!$D$5:$D$300,Detalle!$A$5:$A$300,A280))</f>
        <v/>
      </c>
      <c r="I280" s="33">
        <f>IF(A280="","",SUMIFS(Detalle!$F$5:$F$300,Detalle!$A$5:$A$300,A280))</f>
        <v/>
      </c>
      <c r="J280" s="34" t="n"/>
      <c r="K280" s="33">
        <f>IF(A280="","",I280+N(J280))</f>
        <v/>
      </c>
      <c r="L280" s="28" t="n"/>
      <c r="M280" s="28" t="n"/>
    </row>
    <row r="281" ht="15" customHeight="1" s="19">
      <c r="A281" s="28" t="n"/>
      <c r="B281" s="31" t="n"/>
      <c r="C281" s="28" t="n"/>
      <c r="D281" s="28" t="n"/>
      <c r="E281" s="28" t="n"/>
      <c r="F281" s="28" t="n"/>
      <c r="G281" s="28" t="n"/>
      <c r="H281" s="32">
        <f>IF(A281="","",SUMIFS(Detalle!$D$5:$D$300,Detalle!$A$5:$A$300,A281))</f>
        <v/>
      </c>
      <c r="I281" s="33">
        <f>IF(A281="","",SUMIFS(Detalle!$F$5:$F$300,Detalle!$A$5:$A$300,A281))</f>
        <v/>
      </c>
      <c r="J281" s="34" t="n"/>
      <c r="K281" s="33">
        <f>IF(A281="","",I281+N(J281))</f>
        <v/>
      </c>
      <c r="L281" s="28" t="n"/>
      <c r="M281" s="28" t="n"/>
    </row>
    <row r="282" ht="15" customHeight="1" s="19">
      <c r="A282" s="28" t="n"/>
      <c r="B282" s="31" t="n"/>
      <c r="C282" s="28" t="n"/>
      <c r="D282" s="28" t="n"/>
      <c r="E282" s="28" t="n"/>
      <c r="F282" s="28" t="n"/>
      <c r="G282" s="28" t="n"/>
      <c r="H282" s="32">
        <f>IF(A282="","",SUMIFS(Detalle!$D$5:$D$300,Detalle!$A$5:$A$300,A282))</f>
        <v/>
      </c>
      <c r="I282" s="33">
        <f>IF(A282="","",SUMIFS(Detalle!$F$5:$F$300,Detalle!$A$5:$A$300,A282))</f>
        <v/>
      </c>
      <c r="J282" s="34" t="n"/>
      <c r="K282" s="33">
        <f>IF(A282="","",I282+N(J282))</f>
        <v/>
      </c>
      <c r="L282" s="28" t="n"/>
      <c r="M282" s="28" t="n"/>
    </row>
    <row r="283" ht="15" customHeight="1" s="19">
      <c r="A283" s="28" t="n"/>
      <c r="B283" s="31" t="n"/>
      <c r="C283" s="28" t="n"/>
      <c r="D283" s="28" t="n"/>
      <c r="E283" s="28" t="n"/>
      <c r="F283" s="28" t="n"/>
      <c r="G283" s="28" t="n"/>
      <c r="H283" s="32">
        <f>IF(A283="","",SUMIFS(Detalle!$D$5:$D$300,Detalle!$A$5:$A$300,A283))</f>
        <v/>
      </c>
      <c r="I283" s="33">
        <f>IF(A283="","",SUMIFS(Detalle!$F$5:$F$300,Detalle!$A$5:$A$300,A283))</f>
        <v/>
      </c>
      <c r="J283" s="34" t="n"/>
      <c r="K283" s="33">
        <f>IF(A283="","",I283+N(J283))</f>
        <v/>
      </c>
      <c r="L283" s="28" t="n"/>
      <c r="M283" s="28" t="n"/>
    </row>
    <row r="284" ht="15" customHeight="1" s="19">
      <c r="A284" s="28" t="n"/>
      <c r="B284" s="31" t="n"/>
      <c r="C284" s="28" t="n"/>
      <c r="D284" s="28" t="n"/>
      <c r="E284" s="28" t="n"/>
      <c r="F284" s="28" t="n"/>
      <c r="G284" s="28" t="n"/>
      <c r="H284" s="32">
        <f>IF(A284="","",SUMIFS(Detalle!$D$5:$D$300,Detalle!$A$5:$A$300,A284))</f>
        <v/>
      </c>
      <c r="I284" s="33">
        <f>IF(A284="","",SUMIFS(Detalle!$F$5:$F$300,Detalle!$A$5:$A$300,A284))</f>
        <v/>
      </c>
      <c r="J284" s="34" t="n"/>
      <c r="K284" s="33">
        <f>IF(A284="","",I284+N(J284))</f>
        <v/>
      </c>
      <c r="L284" s="28" t="n"/>
      <c r="M284" s="28" t="n"/>
    </row>
    <row r="285" ht="15" customHeight="1" s="19">
      <c r="A285" s="28" t="n"/>
      <c r="B285" s="31" t="n"/>
      <c r="C285" s="28" t="n"/>
      <c r="D285" s="28" t="n"/>
      <c r="E285" s="28" t="n"/>
      <c r="F285" s="28" t="n"/>
      <c r="G285" s="28" t="n"/>
      <c r="H285" s="32">
        <f>IF(A285="","",SUMIFS(Detalle!$D$5:$D$300,Detalle!$A$5:$A$300,A285))</f>
        <v/>
      </c>
      <c r="I285" s="33">
        <f>IF(A285="","",SUMIFS(Detalle!$F$5:$F$300,Detalle!$A$5:$A$300,A285))</f>
        <v/>
      </c>
      <c r="J285" s="34" t="n"/>
      <c r="K285" s="33">
        <f>IF(A285="","",I285+N(J285))</f>
        <v/>
      </c>
      <c r="L285" s="28" t="n"/>
      <c r="M285" s="28" t="n"/>
    </row>
    <row r="286" ht="15" customHeight="1" s="19">
      <c r="A286" s="28" t="n"/>
      <c r="B286" s="31" t="n"/>
      <c r="C286" s="28" t="n"/>
      <c r="D286" s="28" t="n"/>
      <c r="E286" s="28" t="n"/>
      <c r="F286" s="28" t="n"/>
      <c r="G286" s="28" t="n"/>
      <c r="H286" s="32">
        <f>IF(A286="","",SUMIFS(Detalle!$D$5:$D$300,Detalle!$A$5:$A$300,A286))</f>
        <v/>
      </c>
      <c r="I286" s="33">
        <f>IF(A286="","",SUMIFS(Detalle!$F$5:$F$300,Detalle!$A$5:$A$300,A286))</f>
        <v/>
      </c>
      <c r="J286" s="34" t="n"/>
      <c r="K286" s="33">
        <f>IF(A286="","",I286+N(J286))</f>
        <v/>
      </c>
      <c r="L286" s="28" t="n"/>
      <c r="M286" s="28" t="n"/>
    </row>
    <row r="287" ht="15" customHeight="1" s="19">
      <c r="A287" s="28" t="n"/>
      <c r="B287" s="31" t="n"/>
      <c r="C287" s="28" t="n"/>
      <c r="D287" s="28" t="n"/>
      <c r="E287" s="28" t="n"/>
      <c r="F287" s="28" t="n"/>
      <c r="G287" s="28" t="n"/>
      <c r="H287" s="32">
        <f>IF(A287="","",SUMIFS(Detalle!$D$5:$D$300,Detalle!$A$5:$A$300,A287))</f>
        <v/>
      </c>
      <c r="I287" s="33">
        <f>IF(A287="","",SUMIFS(Detalle!$F$5:$F$300,Detalle!$A$5:$A$300,A287))</f>
        <v/>
      </c>
      <c r="J287" s="34" t="n"/>
      <c r="K287" s="33">
        <f>IF(A287="","",I287+N(J287))</f>
        <v/>
      </c>
      <c r="L287" s="28" t="n"/>
      <c r="M287" s="28" t="n"/>
    </row>
    <row r="288" ht="15" customHeight="1" s="19">
      <c r="A288" s="28" t="n"/>
      <c r="B288" s="31" t="n"/>
      <c r="C288" s="28" t="n"/>
      <c r="D288" s="28" t="n"/>
      <c r="E288" s="28" t="n"/>
      <c r="F288" s="28" t="n"/>
      <c r="G288" s="28" t="n"/>
      <c r="H288" s="32">
        <f>IF(A288="","",SUMIFS(Detalle!$D$5:$D$300,Detalle!$A$5:$A$300,A288))</f>
        <v/>
      </c>
      <c r="I288" s="33">
        <f>IF(A288="","",SUMIFS(Detalle!$F$5:$F$300,Detalle!$A$5:$A$300,A288))</f>
        <v/>
      </c>
      <c r="J288" s="34" t="n"/>
      <c r="K288" s="33">
        <f>IF(A288="","",I288+N(J288))</f>
        <v/>
      </c>
      <c r="L288" s="28" t="n"/>
      <c r="M288" s="28" t="n"/>
    </row>
    <row r="289" ht="15" customHeight="1" s="19">
      <c r="A289" s="28" t="n"/>
      <c r="B289" s="31" t="n"/>
      <c r="C289" s="28" t="n"/>
      <c r="D289" s="28" t="n"/>
      <c r="E289" s="28" t="n"/>
      <c r="F289" s="28" t="n"/>
      <c r="G289" s="28" t="n"/>
      <c r="H289" s="32">
        <f>IF(A289="","",SUMIFS(Detalle!$D$5:$D$300,Detalle!$A$5:$A$300,A289))</f>
        <v/>
      </c>
      <c r="I289" s="33">
        <f>IF(A289="","",SUMIFS(Detalle!$F$5:$F$300,Detalle!$A$5:$A$300,A289))</f>
        <v/>
      </c>
      <c r="J289" s="34" t="n"/>
      <c r="K289" s="33">
        <f>IF(A289="","",I289+N(J289))</f>
        <v/>
      </c>
      <c r="L289" s="28" t="n"/>
      <c r="M289" s="28" t="n"/>
    </row>
    <row r="290" ht="15" customHeight="1" s="19">
      <c r="A290" s="28" t="n"/>
      <c r="B290" s="31" t="n"/>
      <c r="C290" s="28" t="n"/>
      <c r="D290" s="28" t="n"/>
      <c r="E290" s="28" t="n"/>
      <c r="F290" s="28" t="n"/>
      <c r="G290" s="28" t="n"/>
      <c r="H290" s="32">
        <f>IF(A290="","",SUMIFS(Detalle!$D$5:$D$300,Detalle!$A$5:$A$300,A290))</f>
        <v/>
      </c>
      <c r="I290" s="33">
        <f>IF(A290="","",SUMIFS(Detalle!$F$5:$F$300,Detalle!$A$5:$A$300,A290))</f>
        <v/>
      </c>
      <c r="J290" s="34" t="n"/>
      <c r="K290" s="33">
        <f>IF(A290="","",I290+N(J290))</f>
        <v/>
      </c>
      <c r="L290" s="28" t="n"/>
      <c r="M290" s="28" t="n"/>
    </row>
    <row r="291" ht="15" customHeight="1" s="19">
      <c r="A291" s="28" t="n"/>
      <c r="B291" s="31" t="n"/>
      <c r="C291" s="28" t="n"/>
      <c r="D291" s="28" t="n"/>
      <c r="E291" s="28" t="n"/>
      <c r="F291" s="28" t="n"/>
      <c r="G291" s="28" t="n"/>
      <c r="H291" s="32">
        <f>IF(A291="","",SUMIFS(Detalle!$D$5:$D$300,Detalle!$A$5:$A$300,A291))</f>
        <v/>
      </c>
      <c r="I291" s="33">
        <f>IF(A291="","",SUMIFS(Detalle!$F$5:$F$300,Detalle!$A$5:$A$300,A291))</f>
        <v/>
      </c>
      <c r="J291" s="34" t="n"/>
      <c r="K291" s="33">
        <f>IF(A291="","",I291+N(J291))</f>
        <v/>
      </c>
      <c r="L291" s="28" t="n"/>
      <c r="M291" s="28" t="n"/>
    </row>
    <row r="292" ht="15" customHeight="1" s="19">
      <c r="A292" s="28" t="n"/>
      <c r="B292" s="31" t="n"/>
      <c r="C292" s="28" t="n"/>
      <c r="D292" s="28" t="n"/>
      <c r="E292" s="28" t="n"/>
      <c r="F292" s="28" t="n"/>
      <c r="G292" s="28" t="n"/>
      <c r="H292" s="32">
        <f>IF(A292="","",SUMIFS(Detalle!$D$5:$D$300,Detalle!$A$5:$A$300,A292))</f>
        <v/>
      </c>
      <c r="I292" s="33">
        <f>IF(A292="","",SUMIFS(Detalle!$F$5:$F$300,Detalle!$A$5:$A$300,A292))</f>
        <v/>
      </c>
      <c r="J292" s="34" t="n"/>
      <c r="K292" s="33">
        <f>IF(A292="","",I292+N(J292))</f>
        <v/>
      </c>
      <c r="L292" s="28" t="n"/>
      <c r="M292" s="28" t="n"/>
    </row>
    <row r="293" ht="15" customHeight="1" s="19">
      <c r="A293" s="28" t="n"/>
      <c r="B293" s="31" t="n"/>
      <c r="C293" s="28" t="n"/>
      <c r="D293" s="28" t="n"/>
      <c r="E293" s="28" t="n"/>
      <c r="F293" s="28" t="n"/>
      <c r="G293" s="28" t="n"/>
      <c r="H293" s="32">
        <f>IF(A293="","",SUMIFS(Detalle!$D$5:$D$300,Detalle!$A$5:$A$300,A293))</f>
        <v/>
      </c>
      <c r="I293" s="33">
        <f>IF(A293="","",SUMIFS(Detalle!$F$5:$F$300,Detalle!$A$5:$A$300,A293))</f>
        <v/>
      </c>
      <c r="J293" s="34" t="n"/>
      <c r="K293" s="33">
        <f>IF(A293="","",I293+N(J293))</f>
        <v/>
      </c>
      <c r="L293" s="28" t="n"/>
      <c r="M293" s="28" t="n"/>
    </row>
    <row r="294" ht="15" customHeight="1" s="19">
      <c r="A294" s="28" t="n"/>
      <c r="B294" s="31" t="n"/>
      <c r="C294" s="28" t="n"/>
      <c r="D294" s="28" t="n"/>
      <c r="E294" s="28" t="n"/>
      <c r="F294" s="28" t="n"/>
      <c r="G294" s="28" t="n"/>
      <c r="H294" s="32">
        <f>IF(A294="","",SUMIFS(Detalle!$D$5:$D$300,Detalle!$A$5:$A$300,A294))</f>
        <v/>
      </c>
      <c r="I294" s="33">
        <f>IF(A294="","",SUMIFS(Detalle!$F$5:$F$300,Detalle!$A$5:$A$300,A294))</f>
        <v/>
      </c>
      <c r="J294" s="34" t="n"/>
      <c r="K294" s="33">
        <f>IF(A294="","",I294+N(J294))</f>
        <v/>
      </c>
      <c r="L294" s="28" t="n"/>
      <c r="M294" s="28" t="n"/>
    </row>
    <row r="295" ht="15" customHeight="1" s="19">
      <c r="A295" s="28" t="n"/>
      <c r="B295" s="31" t="n"/>
      <c r="C295" s="28" t="n"/>
      <c r="D295" s="28" t="n"/>
      <c r="E295" s="28" t="n"/>
      <c r="F295" s="28" t="n"/>
      <c r="G295" s="28" t="n"/>
      <c r="H295" s="32">
        <f>IF(A295="","",SUMIFS(Detalle!$D$5:$D$300,Detalle!$A$5:$A$300,A295))</f>
        <v/>
      </c>
      <c r="I295" s="33">
        <f>IF(A295="","",SUMIFS(Detalle!$F$5:$F$300,Detalle!$A$5:$A$300,A295))</f>
        <v/>
      </c>
      <c r="J295" s="34" t="n"/>
      <c r="K295" s="33">
        <f>IF(A295="","",I295+N(J295))</f>
        <v/>
      </c>
      <c r="L295" s="28" t="n"/>
      <c r="M295" s="28" t="n"/>
    </row>
    <row r="296" ht="15" customHeight="1" s="19">
      <c r="A296" s="28" t="n"/>
      <c r="B296" s="31" t="n"/>
      <c r="C296" s="28" t="n"/>
      <c r="D296" s="28" t="n"/>
      <c r="E296" s="28" t="n"/>
      <c r="F296" s="28" t="n"/>
      <c r="G296" s="28" t="n"/>
      <c r="H296" s="32">
        <f>IF(A296="","",SUMIFS(Detalle!$D$5:$D$300,Detalle!$A$5:$A$300,A296))</f>
        <v/>
      </c>
      <c r="I296" s="33">
        <f>IF(A296="","",SUMIFS(Detalle!$F$5:$F$300,Detalle!$A$5:$A$300,A296))</f>
        <v/>
      </c>
      <c r="J296" s="34" t="n"/>
      <c r="K296" s="33">
        <f>IF(A296="","",I296+N(J296))</f>
        <v/>
      </c>
      <c r="L296" s="28" t="n"/>
      <c r="M296" s="28" t="n"/>
    </row>
    <row r="297" ht="15" customHeight="1" s="19">
      <c r="A297" s="28" t="n"/>
      <c r="B297" s="31" t="n"/>
      <c r="C297" s="28" t="n"/>
      <c r="D297" s="28" t="n"/>
      <c r="E297" s="28" t="n"/>
      <c r="F297" s="28" t="n"/>
      <c r="G297" s="28" t="n"/>
      <c r="H297" s="32">
        <f>IF(A297="","",SUMIFS(Detalle!$D$5:$D$300,Detalle!$A$5:$A$300,A297))</f>
        <v/>
      </c>
      <c r="I297" s="33">
        <f>IF(A297="","",SUMIFS(Detalle!$F$5:$F$300,Detalle!$A$5:$A$300,A297))</f>
        <v/>
      </c>
      <c r="J297" s="34" t="n"/>
      <c r="K297" s="33">
        <f>IF(A297="","",I297+N(J297))</f>
        <v/>
      </c>
      <c r="L297" s="28" t="n"/>
      <c r="M297" s="28" t="n"/>
    </row>
    <row r="298" ht="15" customHeight="1" s="19">
      <c r="A298" s="28" t="n"/>
      <c r="B298" s="31" t="n"/>
      <c r="C298" s="28" t="n"/>
      <c r="D298" s="28" t="n"/>
      <c r="E298" s="28" t="n"/>
      <c r="F298" s="28" t="n"/>
      <c r="G298" s="28" t="n"/>
      <c r="H298" s="32">
        <f>IF(A298="","",SUMIFS(Detalle!$D$5:$D$300,Detalle!$A$5:$A$300,A298))</f>
        <v/>
      </c>
      <c r="I298" s="33">
        <f>IF(A298="","",SUMIFS(Detalle!$F$5:$F$300,Detalle!$A$5:$A$300,A298))</f>
        <v/>
      </c>
      <c r="J298" s="34" t="n"/>
      <c r="K298" s="33">
        <f>IF(A298="","",I298+N(J298))</f>
        <v/>
      </c>
      <c r="L298" s="28" t="n"/>
      <c r="M298" s="28" t="n"/>
    </row>
    <row r="299" ht="15" customHeight="1" s="19">
      <c r="A299" s="28" t="n"/>
      <c r="B299" s="31" t="n"/>
      <c r="C299" s="28" t="n"/>
      <c r="D299" s="28" t="n"/>
      <c r="E299" s="28" t="n"/>
      <c r="F299" s="28" t="n"/>
      <c r="G299" s="28" t="n"/>
      <c r="H299" s="32">
        <f>IF(A299="","",SUMIFS(Detalle!$D$5:$D$300,Detalle!$A$5:$A$300,A299))</f>
        <v/>
      </c>
      <c r="I299" s="33">
        <f>IF(A299="","",SUMIFS(Detalle!$F$5:$F$300,Detalle!$A$5:$A$300,A299))</f>
        <v/>
      </c>
      <c r="J299" s="34" t="n"/>
      <c r="K299" s="33">
        <f>IF(A299="","",I299+N(J299))</f>
        <v/>
      </c>
      <c r="L299" s="28" t="n"/>
      <c r="M299" s="28" t="n"/>
    </row>
    <row r="300" ht="15" customHeight="1" s="19">
      <c r="A300" s="28" t="n"/>
      <c r="B300" s="31" t="n"/>
      <c r="C300" s="28" t="n"/>
      <c r="D300" s="28" t="n"/>
      <c r="E300" s="28" t="n"/>
      <c r="F300" s="28" t="n"/>
      <c r="G300" s="28" t="n"/>
      <c r="H300" s="32">
        <f>IF(A300="","",SUMIFS(Detalle!$D$5:$D$300,Detalle!$A$5:$A$300,A300))</f>
        <v/>
      </c>
      <c r="I300" s="33">
        <f>IF(A300="","",SUMIFS(Detalle!$F$5:$F$300,Detalle!$A$5:$A$300,A300))</f>
        <v/>
      </c>
      <c r="J300" s="34" t="n"/>
      <c r="K300" s="33">
        <f>IF(A300="","",I300+N(J300))</f>
        <v/>
      </c>
      <c r="L300" s="28" t="n"/>
      <c r="M300" s="28" t="n"/>
    </row>
  </sheetData>
  <conditionalFormatting sqref="L5:L300">
    <cfRule type="expression" rank="0" priority="2" equalAverage="0" aboveAverage="0" dxfId="2" text="" percent="0" bottom="0">
      <formula>$L5="Confirmado"</formula>
    </cfRule>
    <cfRule type="expression" rank="0" priority="3" equalAverage="0" aboveAverage="0" dxfId="1" text="" percent="0" bottom="0">
      <formula>$L5="Pendiente"</formula>
    </cfRule>
    <cfRule type="expression" rank="0" priority="4" equalAverage="0" aboveAverage="0" dxfId="0" text="" percent="0" bottom="0">
      <formula>$L5="Cancelado"</formula>
    </cfRule>
  </conditionalFormatting>
  <dataValidations count="1">
    <dataValidation sqref="L5:L300" showDropDown="0" showInputMessage="0" showErrorMessage="0" allowBlank="1" type="list" errorStyle="stop" operator="between">
      <formula1>"Pendiente,Confirmado,Cancelado"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8" min="1" max="1"/>
    <col width="18" customWidth="1" style="18" min="2" max="2"/>
    <col width="38" customWidth="1" style="18" min="3" max="3"/>
    <col width="12" customWidth="1" style="18" min="4" max="4"/>
    <col width="16" customWidth="1" style="18" min="5" max="6"/>
    <col width="18" customWidth="1" style="18" min="7" max="7"/>
  </cols>
  <sheetData>
    <row r="1" ht="17.35" customHeight="1" s="19">
      <c r="A1" s="20" t="inlineStr">
        <is>
          <t>Detalle de pedidos (un renglón por producto)</t>
        </is>
      </c>
    </row>
    <row r="2" ht="15" customHeight="1" s="19">
      <c r="A2" s="26" t="inlineStr">
        <is>
          <t>Escribe el ID del pedido, el SKU (ver hoja Inventario) y la cantidad. Producto, precio, subtotal y estado se llenan solos.</t>
        </is>
      </c>
    </row>
    <row r="4" ht="31.5" customHeight="1" s="19">
      <c r="A4" s="27" t="inlineStr">
        <is>
          <t>ID pedido</t>
        </is>
      </c>
      <c r="B4" s="27" t="inlineStr">
        <is>
          <t>SKU</t>
        </is>
      </c>
      <c r="C4" s="27" t="inlineStr">
        <is>
          <t>Producto</t>
        </is>
      </c>
      <c r="D4" s="27" t="inlineStr">
        <is>
          <t>Cantidad (und)</t>
        </is>
      </c>
      <c r="E4" s="27" t="inlineStr">
        <is>
          <t>Precio unitario (COP)</t>
        </is>
      </c>
      <c r="F4" s="27" t="inlineStr">
        <is>
          <t>Subtotal (COP)</t>
        </is>
      </c>
      <c r="G4" s="27" t="inlineStr">
        <is>
          <t>Estado del pedido</t>
        </is>
      </c>
    </row>
    <row r="5" ht="15" customHeight="1" s="19">
      <c r="A5" s="28" t="inlineStr">
        <is>
          <t>P-0001</t>
        </is>
      </c>
      <c r="B5" s="28" t="inlineStr">
        <is>
          <t>COMBO-6</t>
        </is>
      </c>
      <c r="C5" s="32">
        <f>IF(B5="","",IFERROR(INDEX(Inventario!$B$5:$B$200,MATCH(B5,Inventario!$A$5:$A$200,0)),"SKU no existe"))</f>
        <v/>
      </c>
      <c r="D5" s="28" t="n">
        <v>2</v>
      </c>
      <c r="E5" s="33">
        <f>IF(B5="","",IFERROR(INDEX(Inventario!$D$5:$D$200,MATCH(B5,Inventario!$A$5:$A$200,0)),0))</f>
        <v/>
      </c>
      <c r="F5" s="33">
        <f>IF(OR(B5="",D5=""),"",D5*E5)</f>
        <v/>
      </c>
      <c r="G5" s="32">
        <f>IF(A5="","",IFERROR(INDEX(Pedidos!$L$5:$L$300,MATCH(A5,Pedidos!$A$5:$A$300,0)),"Pedido no existe"))</f>
        <v/>
      </c>
    </row>
    <row r="6" ht="15" customHeight="1" s="19">
      <c r="A6" s="28" t="inlineStr">
        <is>
          <t>P-0001</t>
        </is>
      </c>
      <c r="B6" s="28" t="inlineStr">
        <is>
          <t>GAS-1500-COCA</t>
        </is>
      </c>
      <c r="C6" s="32">
        <f>IF(B6="","",IFERROR(INDEX(Inventario!$B$5:$B$200,MATCH(B6,Inventario!$A$5:$A$200,0)),"SKU no existe"))</f>
        <v/>
      </c>
      <c r="D6" s="28" t="n">
        <v>1</v>
      </c>
      <c r="E6" s="33">
        <f>IF(B6="","",IFERROR(INDEX(Inventario!$D$5:$D$200,MATCH(B6,Inventario!$A$5:$A$200,0)),0))</f>
        <v/>
      </c>
      <c r="F6" s="33">
        <f>IF(OR(B6="",D6=""),"",D6*E6)</f>
        <v/>
      </c>
      <c r="G6" s="32">
        <f>IF(A6="","",IFERROR(INDEX(Pedidos!$L$5:$L$300,MATCH(A6,Pedidos!$A$5:$A$300,0)),"Pedido no existe"))</f>
        <v/>
      </c>
    </row>
    <row r="7" ht="15" customHeight="1" s="19">
      <c r="A7" s="28" t="n"/>
      <c r="B7" s="28" t="n"/>
      <c r="C7" s="32">
        <f>IF(B7="","",IFERROR(INDEX(Inventario!$B$5:$B$200,MATCH(B7,Inventario!$A$5:$A$200,0)),"SKU no existe"))</f>
        <v/>
      </c>
      <c r="D7" s="28" t="n"/>
      <c r="E7" s="33">
        <f>IF(B7="","",IFERROR(INDEX(Inventario!$D$5:$D$200,MATCH(B7,Inventario!$A$5:$A$200,0)),0))</f>
        <v/>
      </c>
      <c r="F7" s="33">
        <f>IF(OR(B7="",D7=""),"",D7*E7)</f>
        <v/>
      </c>
      <c r="G7" s="32">
        <f>IF(A7="","",IFERROR(INDEX(Pedidos!$L$5:$L$300,MATCH(A7,Pedidos!$A$5:$A$300,0)),"Pedido no existe"))</f>
        <v/>
      </c>
    </row>
    <row r="8" ht="15" customHeight="1" s="19">
      <c r="A8" s="28" t="n"/>
      <c r="B8" s="28" t="n"/>
      <c r="C8" s="32">
        <f>IF(B8="","",IFERROR(INDEX(Inventario!$B$5:$B$200,MATCH(B8,Inventario!$A$5:$A$200,0)),"SKU no existe"))</f>
        <v/>
      </c>
      <c r="D8" s="28" t="n"/>
      <c r="E8" s="33">
        <f>IF(B8="","",IFERROR(INDEX(Inventario!$D$5:$D$200,MATCH(B8,Inventario!$A$5:$A$200,0)),0))</f>
        <v/>
      </c>
      <c r="F8" s="33">
        <f>IF(OR(B8="",D8=""),"",D8*E8)</f>
        <v/>
      </c>
      <c r="G8" s="32">
        <f>IF(A8="","",IFERROR(INDEX(Pedidos!$L$5:$L$300,MATCH(A8,Pedidos!$A$5:$A$300,0)),"Pedido no existe"))</f>
        <v/>
      </c>
    </row>
    <row r="9" ht="15" customHeight="1" s="19">
      <c r="A9" s="28" t="n"/>
      <c r="B9" s="28" t="n"/>
      <c r="C9" s="32">
        <f>IF(B9="","",IFERROR(INDEX(Inventario!$B$5:$B$200,MATCH(B9,Inventario!$A$5:$A$200,0)),"SKU no existe"))</f>
        <v/>
      </c>
      <c r="D9" s="28" t="n"/>
      <c r="E9" s="33">
        <f>IF(B9="","",IFERROR(INDEX(Inventario!$D$5:$D$200,MATCH(B9,Inventario!$A$5:$A$200,0)),0))</f>
        <v/>
      </c>
      <c r="F9" s="33">
        <f>IF(OR(B9="",D9=""),"",D9*E9)</f>
        <v/>
      </c>
      <c r="G9" s="32">
        <f>IF(A9="","",IFERROR(INDEX(Pedidos!$L$5:$L$300,MATCH(A9,Pedidos!$A$5:$A$300,0)),"Pedido no existe"))</f>
        <v/>
      </c>
    </row>
    <row r="10" ht="15" customHeight="1" s="19">
      <c r="A10" s="28" t="n"/>
      <c r="B10" s="28" t="n"/>
      <c r="C10" s="32">
        <f>IF(B10="","",IFERROR(INDEX(Inventario!$B$5:$B$200,MATCH(B10,Inventario!$A$5:$A$200,0)),"SKU no existe"))</f>
        <v/>
      </c>
      <c r="D10" s="28" t="n"/>
      <c r="E10" s="33">
        <f>IF(B10="","",IFERROR(INDEX(Inventario!$D$5:$D$200,MATCH(B10,Inventario!$A$5:$A$200,0)),0))</f>
        <v/>
      </c>
      <c r="F10" s="33">
        <f>IF(OR(B10="",D10=""),"",D10*E10)</f>
        <v/>
      </c>
      <c r="G10" s="32">
        <f>IF(A10="","",IFERROR(INDEX(Pedidos!$L$5:$L$300,MATCH(A10,Pedidos!$A$5:$A$300,0)),"Pedido no existe"))</f>
        <v/>
      </c>
    </row>
    <row r="11" ht="15" customHeight="1" s="19">
      <c r="A11" s="28" t="n"/>
      <c r="B11" s="28" t="n"/>
      <c r="C11" s="32">
        <f>IF(B11="","",IFERROR(INDEX(Inventario!$B$5:$B$200,MATCH(B11,Inventario!$A$5:$A$200,0)),"SKU no existe"))</f>
        <v/>
      </c>
      <c r="D11" s="28" t="n"/>
      <c r="E11" s="33">
        <f>IF(B11="","",IFERROR(INDEX(Inventario!$D$5:$D$200,MATCH(B11,Inventario!$A$5:$A$200,0)),0))</f>
        <v/>
      </c>
      <c r="F11" s="33">
        <f>IF(OR(B11="",D11=""),"",D11*E11)</f>
        <v/>
      </c>
      <c r="G11" s="32">
        <f>IF(A11="","",IFERROR(INDEX(Pedidos!$L$5:$L$300,MATCH(A11,Pedidos!$A$5:$A$300,0)),"Pedido no existe"))</f>
        <v/>
      </c>
    </row>
    <row r="12" ht="15" customHeight="1" s="19">
      <c r="A12" s="28" t="n"/>
      <c r="B12" s="28" t="n"/>
      <c r="C12" s="32">
        <f>IF(B12="","",IFERROR(INDEX(Inventario!$B$5:$B$200,MATCH(B12,Inventario!$A$5:$A$200,0)),"SKU no existe"))</f>
        <v/>
      </c>
      <c r="D12" s="28" t="n"/>
      <c r="E12" s="33">
        <f>IF(B12="","",IFERROR(INDEX(Inventario!$D$5:$D$200,MATCH(B12,Inventario!$A$5:$A$200,0)),0))</f>
        <v/>
      </c>
      <c r="F12" s="33">
        <f>IF(OR(B12="",D12=""),"",D12*E12)</f>
        <v/>
      </c>
      <c r="G12" s="32">
        <f>IF(A12="","",IFERROR(INDEX(Pedidos!$L$5:$L$300,MATCH(A12,Pedidos!$A$5:$A$300,0)),"Pedido no existe"))</f>
        <v/>
      </c>
    </row>
    <row r="13" ht="15" customHeight="1" s="19">
      <c r="A13" s="28" t="n"/>
      <c r="B13" s="28" t="n"/>
      <c r="C13" s="32">
        <f>IF(B13="","",IFERROR(INDEX(Inventario!$B$5:$B$200,MATCH(B13,Inventario!$A$5:$A$200,0)),"SKU no existe"))</f>
        <v/>
      </c>
      <c r="D13" s="28" t="n"/>
      <c r="E13" s="33">
        <f>IF(B13="","",IFERROR(INDEX(Inventario!$D$5:$D$200,MATCH(B13,Inventario!$A$5:$A$200,0)),0))</f>
        <v/>
      </c>
      <c r="F13" s="33">
        <f>IF(OR(B13="",D13=""),"",D13*E13)</f>
        <v/>
      </c>
      <c r="G13" s="32">
        <f>IF(A13="","",IFERROR(INDEX(Pedidos!$L$5:$L$300,MATCH(A13,Pedidos!$A$5:$A$300,0)),"Pedido no existe"))</f>
        <v/>
      </c>
    </row>
    <row r="14" ht="15" customHeight="1" s="19">
      <c r="A14" s="28" t="n"/>
      <c r="B14" s="28" t="n"/>
      <c r="C14" s="32">
        <f>IF(B14="","",IFERROR(INDEX(Inventario!$B$5:$B$200,MATCH(B14,Inventario!$A$5:$A$200,0)),"SKU no existe"))</f>
        <v/>
      </c>
      <c r="D14" s="28" t="n"/>
      <c r="E14" s="33">
        <f>IF(B14="","",IFERROR(INDEX(Inventario!$D$5:$D$200,MATCH(B14,Inventario!$A$5:$A$200,0)),0))</f>
        <v/>
      </c>
      <c r="F14" s="33">
        <f>IF(OR(B14="",D14=""),"",D14*E14)</f>
        <v/>
      </c>
      <c r="G14" s="32">
        <f>IF(A14="","",IFERROR(INDEX(Pedidos!$L$5:$L$300,MATCH(A14,Pedidos!$A$5:$A$300,0)),"Pedido no existe"))</f>
        <v/>
      </c>
    </row>
    <row r="15" ht="15" customHeight="1" s="19">
      <c r="A15" s="28" t="n"/>
      <c r="B15" s="28" t="n"/>
      <c r="C15" s="32">
        <f>IF(B15="","",IFERROR(INDEX(Inventario!$B$5:$B$200,MATCH(B15,Inventario!$A$5:$A$200,0)),"SKU no existe"))</f>
        <v/>
      </c>
      <c r="D15" s="28" t="n"/>
      <c r="E15" s="33">
        <f>IF(B15="","",IFERROR(INDEX(Inventario!$D$5:$D$200,MATCH(B15,Inventario!$A$5:$A$200,0)),0))</f>
        <v/>
      </c>
      <c r="F15" s="33">
        <f>IF(OR(B15="",D15=""),"",D15*E15)</f>
        <v/>
      </c>
      <c r="G15" s="32">
        <f>IF(A15="","",IFERROR(INDEX(Pedidos!$L$5:$L$300,MATCH(A15,Pedidos!$A$5:$A$300,0)),"Pedido no existe"))</f>
        <v/>
      </c>
    </row>
    <row r="16" ht="15" customHeight="1" s="19">
      <c r="A16" s="28" t="n"/>
      <c r="B16" s="28" t="n"/>
      <c r="C16" s="32">
        <f>IF(B16="","",IFERROR(INDEX(Inventario!$B$5:$B$200,MATCH(B16,Inventario!$A$5:$A$200,0)),"SKU no existe"))</f>
        <v/>
      </c>
      <c r="D16" s="28" t="n"/>
      <c r="E16" s="33">
        <f>IF(B16="","",IFERROR(INDEX(Inventario!$D$5:$D$200,MATCH(B16,Inventario!$A$5:$A$200,0)),0))</f>
        <v/>
      </c>
      <c r="F16" s="33">
        <f>IF(OR(B16="",D16=""),"",D16*E16)</f>
        <v/>
      </c>
      <c r="G16" s="32">
        <f>IF(A16="","",IFERROR(INDEX(Pedidos!$L$5:$L$300,MATCH(A16,Pedidos!$A$5:$A$300,0)),"Pedido no existe"))</f>
        <v/>
      </c>
    </row>
    <row r="17" ht="15" customHeight="1" s="19">
      <c r="A17" s="28" t="n"/>
      <c r="B17" s="28" t="n"/>
      <c r="C17" s="32">
        <f>IF(B17="","",IFERROR(INDEX(Inventario!$B$5:$B$200,MATCH(B17,Inventario!$A$5:$A$200,0)),"SKU no existe"))</f>
        <v/>
      </c>
      <c r="D17" s="28" t="n"/>
      <c r="E17" s="33">
        <f>IF(B17="","",IFERROR(INDEX(Inventario!$D$5:$D$200,MATCH(B17,Inventario!$A$5:$A$200,0)),0))</f>
        <v/>
      </c>
      <c r="F17" s="33">
        <f>IF(OR(B17="",D17=""),"",D17*E17)</f>
        <v/>
      </c>
      <c r="G17" s="32">
        <f>IF(A17="","",IFERROR(INDEX(Pedidos!$L$5:$L$300,MATCH(A17,Pedidos!$A$5:$A$300,0)),"Pedido no existe"))</f>
        <v/>
      </c>
    </row>
    <row r="18" ht="15" customHeight="1" s="19">
      <c r="A18" s="28" t="n"/>
      <c r="B18" s="28" t="n"/>
      <c r="C18" s="32">
        <f>IF(B18="","",IFERROR(INDEX(Inventario!$B$5:$B$200,MATCH(B18,Inventario!$A$5:$A$200,0)),"SKU no existe"))</f>
        <v/>
      </c>
      <c r="D18" s="28" t="n"/>
      <c r="E18" s="33">
        <f>IF(B18="","",IFERROR(INDEX(Inventario!$D$5:$D$200,MATCH(B18,Inventario!$A$5:$A$200,0)),0))</f>
        <v/>
      </c>
      <c r="F18" s="33">
        <f>IF(OR(B18="",D18=""),"",D18*E18)</f>
        <v/>
      </c>
      <c r="G18" s="32">
        <f>IF(A18="","",IFERROR(INDEX(Pedidos!$L$5:$L$300,MATCH(A18,Pedidos!$A$5:$A$300,0)),"Pedido no existe"))</f>
        <v/>
      </c>
    </row>
    <row r="19" ht="15" customHeight="1" s="19">
      <c r="A19" s="28" t="n"/>
      <c r="B19" s="28" t="n"/>
      <c r="C19" s="32">
        <f>IF(B19="","",IFERROR(INDEX(Inventario!$B$5:$B$200,MATCH(B19,Inventario!$A$5:$A$200,0)),"SKU no existe"))</f>
        <v/>
      </c>
      <c r="D19" s="28" t="n"/>
      <c r="E19" s="33">
        <f>IF(B19="","",IFERROR(INDEX(Inventario!$D$5:$D$200,MATCH(B19,Inventario!$A$5:$A$200,0)),0))</f>
        <v/>
      </c>
      <c r="F19" s="33">
        <f>IF(OR(B19="",D19=""),"",D19*E19)</f>
        <v/>
      </c>
      <c r="G19" s="32">
        <f>IF(A19="","",IFERROR(INDEX(Pedidos!$L$5:$L$300,MATCH(A19,Pedidos!$A$5:$A$300,0)),"Pedido no existe"))</f>
        <v/>
      </c>
    </row>
    <row r="20" ht="15" customHeight="1" s="19">
      <c r="A20" s="28" t="n"/>
      <c r="B20" s="28" t="n"/>
      <c r="C20" s="32">
        <f>IF(B20="","",IFERROR(INDEX(Inventario!$B$5:$B$200,MATCH(B20,Inventario!$A$5:$A$200,0)),"SKU no existe"))</f>
        <v/>
      </c>
      <c r="D20" s="28" t="n"/>
      <c r="E20" s="33">
        <f>IF(B20="","",IFERROR(INDEX(Inventario!$D$5:$D$200,MATCH(B20,Inventario!$A$5:$A$200,0)),0))</f>
        <v/>
      </c>
      <c r="F20" s="33">
        <f>IF(OR(B20="",D20=""),"",D20*E20)</f>
        <v/>
      </c>
      <c r="G20" s="32">
        <f>IF(A20="","",IFERROR(INDEX(Pedidos!$L$5:$L$300,MATCH(A20,Pedidos!$A$5:$A$300,0)),"Pedido no existe"))</f>
        <v/>
      </c>
    </row>
    <row r="21" ht="15" customHeight="1" s="19">
      <c r="A21" s="28" t="n"/>
      <c r="B21" s="28" t="n"/>
      <c r="C21" s="32">
        <f>IF(B21="","",IFERROR(INDEX(Inventario!$B$5:$B$200,MATCH(B21,Inventario!$A$5:$A$200,0)),"SKU no existe"))</f>
        <v/>
      </c>
      <c r="D21" s="28" t="n"/>
      <c r="E21" s="33">
        <f>IF(B21="","",IFERROR(INDEX(Inventario!$D$5:$D$200,MATCH(B21,Inventario!$A$5:$A$200,0)),0))</f>
        <v/>
      </c>
      <c r="F21" s="33">
        <f>IF(OR(B21="",D21=""),"",D21*E21)</f>
        <v/>
      </c>
      <c r="G21" s="32">
        <f>IF(A21="","",IFERROR(INDEX(Pedidos!$L$5:$L$300,MATCH(A21,Pedidos!$A$5:$A$300,0)),"Pedido no existe"))</f>
        <v/>
      </c>
    </row>
    <row r="22" ht="15" customHeight="1" s="19">
      <c r="A22" s="28" t="n"/>
      <c r="B22" s="28" t="n"/>
      <c r="C22" s="32">
        <f>IF(B22="","",IFERROR(INDEX(Inventario!$B$5:$B$200,MATCH(B22,Inventario!$A$5:$A$200,0)),"SKU no existe"))</f>
        <v/>
      </c>
      <c r="D22" s="28" t="n"/>
      <c r="E22" s="33">
        <f>IF(B22="","",IFERROR(INDEX(Inventario!$D$5:$D$200,MATCH(B22,Inventario!$A$5:$A$200,0)),0))</f>
        <v/>
      </c>
      <c r="F22" s="33">
        <f>IF(OR(B22="",D22=""),"",D22*E22)</f>
        <v/>
      </c>
      <c r="G22" s="32">
        <f>IF(A22="","",IFERROR(INDEX(Pedidos!$L$5:$L$300,MATCH(A22,Pedidos!$A$5:$A$300,0)),"Pedido no existe"))</f>
        <v/>
      </c>
    </row>
    <row r="23" ht="15" customHeight="1" s="19">
      <c r="A23" s="28" t="n"/>
      <c r="B23" s="28" t="n"/>
      <c r="C23" s="32">
        <f>IF(B23="","",IFERROR(INDEX(Inventario!$B$5:$B$200,MATCH(B23,Inventario!$A$5:$A$200,0)),"SKU no existe"))</f>
        <v/>
      </c>
      <c r="D23" s="28" t="n"/>
      <c r="E23" s="33">
        <f>IF(B23="","",IFERROR(INDEX(Inventario!$D$5:$D$200,MATCH(B23,Inventario!$A$5:$A$200,0)),0))</f>
        <v/>
      </c>
      <c r="F23" s="33">
        <f>IF(OR(B23="",D23=""),"",D23*E23)</f>
        <v/>
      </c>
      <c r="G23" s="32">
        <f>IF(A23="","",IFERROR(INDEX(Pedidos!$L$5:$L$300,MATCH(A23,Pedidos!$A$5:$A$300,0)),"Pedido no existe"))</f>
        <v/>
      </c>
    </row>
    <row r="24" ht="15" customHeight="1" s="19">
      <c r="A24" s="28" t="n"/>
      <c r="B24" s="28" t="n"/>
      <c r="C24" s="32">
        <f>IF(B24="","",IFERROR(INDEX(Inventario!$B$5:$B$200,MATCH(B24,Inventario!$A$5:$A$200,0)),"SKU no existe"))</f>
        <v/>
      </c>
      <c r="D24" s="28" t="n"/>
      <c r="E24" s="33">
        <f>IF(B24="","",IFERROR(INDEX(Inventario!$D$5:$D$200,MATCH(B24,Inventario!$A$5:$A$200,0)),0))</f>
        <v/>
      </c>
      <c r="F24" s="33">
        <f>IF(OR(B24="",D24=""),"",D24*E24)</f>
        <v/>
      </c>
      <c r="G24" s="32">
        <f>IF(A24="","",IFERROR(INDEX(Pedidos!$L$5:$L$300,MATCH(A24,Pedidos!$A$5:$A$300,0)),"Pedido no existe"))</f>
        <v/>
      </c>
    </row>
    <row r="25" ht="15" customHeight="1" s="19">
      <c r="A25" s="28" t="n"/>
      <c r="B25" s="28" t="n"/>
      <c r="C25" s="32">
        <f>IF(B25="","",IFERROR(INDEX(Inventario!$B$5:$B$200,MATCH(B25,Inventario!$A$5:$A$200,0)),"SKU no existe"))</f>
        <v/>
      </c>
      <c r="D25" s="28" t="n"/>
      <c r="E25" s="33">
        <f>IF(B25="","",IFERROR(INDEX(Inventario!$D$5:$D$200,MATCH(B25,Inventario!$A$5:$A$200,0)),0))</f>
        <v/>
      </c>
      <c r="F25" s="33">
        <f>IF(OR(B25="",D25=""),"",D25*E25)</f>
        <v/>
      </c>
      <c r="G25" s="32">
        <f>IF(A25="","",IFERROR(INDEX(Pedidos!$L$5:$L$300,MATCH(A25,Pedidos!$A$5:$A$300,0)),"Pedido no existe"))</f>
        <v/>
      </c>
    </row>
    <row r="26" ht="15" customHeight="1" s="19">
      <c r="A26" s="28" t="n"/>
      <c r="B26" s="28" t="n"/>
      <c r="C26" s="32">
        <f>IF(B26="","",IFERROR(INDEX(Inventario!$B$5:$B$200,MATCH(B26,Inventario!$A$5:$A$200,0)),"SKU no existe"))</f>
        <v/>
      </c>
      <c r="D26" s="28" t="n"/>
      <c r="E26" s="33">
        <f>IF(B26="","",IFERROR(INDEX(Inventario!$D$5:$D$200,MATCH(B26,Inventario!$A$5:$A$200,0)),0))</f>
        <v/>
      </c>
      <c r="F26" s="33">
        <f>IF(OR(B26="",D26=""),"",D26*E26)</f>
        <v/>
      </c>
      <c r="G26" s="32">
        <f>IF(A26="","",IFERROR(INDEX(Pedidos!$L$5:$L$300,MATCH(A26,Pedidos!$A$5:$A$300,0)),"Pedido no existe"))</f>
        <v/>
      </c>
    </row>
    <row r="27" ht="15" customHeight="1" s="19">
      <c r="A27" s="28" t="n"/>
      <c r="B27" s="28" t="n"/>
      <c r="C27" s="32">
        <f>IF(B27="","",IFERROR(INDEX(Inventario!$B$5:$B$200,MATCH(B27,Inventario!$A$5:$A$200,0)),"SKU no existe"))</f>
        <v/>
      </c>
      <c r="D27" s="28" t="n"/>
      <c r="E27" s="33">
        <f>IF(B27="","",IFERROR(INDEX(Inventario!$D$5:$D$200,MATCH(B27,Inventario!$A$5:$A$200,0)),0))</f>
        <v/>
      </c>
      <c r="F27" s="33">
        <f>IF(OR(B27="",D27=""),"",D27*E27)</f>
        <v/>
      </c>
      <c r="G27" s="32">
        <f>IF(A27="","",IFERROR(INDEX(Pedidos!$L$5:$L$300,MATCH(A27,Pedidos!$A$5:$A$300,0)),"Pedido no existe"))</f>
        <v/>
      </c>
    </row>
    <row r="28" ht="15" customHeight="1" s="19">
      <c r="A28" s="28" t="n"/>
      <c r="B28" s="28" t="n"/>
      <c r="C28" s="32">
        <f>IF(B28="","",IFERROR(INDEX(Inventario!$B$5:$B$200,MATCH(B28,Inventario!$A$5:$A$200,0)),"SKU no existe"))</f>
        <v/>
      </c>
      <c r="D28" s="28" t="n"/>
      <c r="E28" s="33">
        <f>IF(B28="","",IFERROR(INDEX(Inventario!$D$5:$D$200,MATCH(B28,Inventario!$A$5:$A$200,0)),0))</f>
        <v/>
      </c>
      <c r="F28" s="33">
        <f>IF(OR(B28="",D28=""),"",D28*E28)</f>
        <v/>
      </c>
      <c r="G28" s="32">
        <f>IF(A28="","",IFERROR(INDEX(Pedidos!$L$5:$L$300,MATCH(A28,Pedidos!$A$5:$A$300,0)),"Pedido no existe"))</f>
        <v/>
      </c>
    </row>
    <row r="29" ht="15" customHeight="1" s="19">
      <c r="A29" s="28" t="n"/>
      <c r="B29" s="28" t="n"/>
      <c r="C29" s="32">
        <f>IF(B29="","",IFERROR(INDEX(Inventario!$B$5:$B$200,MATCH(B29,Inventario!$A$5:$A$200,0)),"SKU no existe"))</f>
        <v/>
      </c>
      <c r="D29" s="28" t="n"/>
      <c r="E29" s="33">
        <f>IF(B29="","",IFERROR(INDEX(Inventario!$D$5:$D$200,MATCH(B29,Inventario!$A$5:$A$200,0)),0))</f>
        <v/>
      </c>
      <c r="F29" s="33">
        <f>IF(OR(B29="",D29=""),"",D29*E29)</f>
        <v/>
      </c>
      <c r="G29" s="32">
        <f>IF(A29="","",IFERROR(INDEX(Pedidos!$L$5:$L$300,MATCH(A29,Pedidos!$A$5:$A$300,0)),"Pedido no existe"))</f>
        <v/>
      </c>
    </row>
    <row r="30" ht="15" customHeight="1" s="19">
      <c r="A30" s="28" t="n"/>
      <c r="B30" s="28" t="n"/>
      <c r="C30" s="32">
        <f>IF(B30="","",IFERROR(INDEX(Inventario!$B$5:$B$200,MATCH(B30,Inventario!$A$5:$A$200,0)),"SKU no existe"))</f>
        <v/>
      </c>
      <c r="D30" s="28" t="n"/>
      <c r="E30" s="33">
        <f>IF(B30="","",IFERROR(INDEX(Inventario!$D$5:$D$200,MATCH(B30,Inventario!$A$5:$A$200,0)),0))</f>
        <v/>
      </c>
      <c r="F30" s="33">
        <f>IF(OR(B30="",D30=""),"",D30*E30)</f>
        <v/>
      </c>
      <c r="G30" s="32">
        <f>IF(A30="","",IFERROR(INDEX(Pedidos!$L$5:$L$300,MATCH(A30,Pedidos!$A$5:$A$300,0)),"Pedido no existe"))</f>
        <v/>
      </c>
    </row>
    <row r="31" ht="15" customHeight="1" s="19">
      <c r="A31" s="28" t="n"/>
      <c r="B31" s="28" t="n"/>
      <c r="C31" s="32">
        <f>IF(B31="","",IFERROR(INDEX(Inventario!$B$5:$B$200,MATCH(B31,Inventario!$A$5:$A$200,0)),"SKU no existe"))</f>
        <v/>
      </c>
      <c r="D31" s="28" t="n"/>
      <c r="E31" s="33">
        <f>IF(B31="","",IFERROR(INDEX(Inventario!$D$5:$D$200,MATCH(B31,Inventario!$A$5:$A$200,0)),0))</f>
        <v/>
      </c>
      <c r="F31" s="33">
        <f>IF(OR(B31="",D31=""),"",D31*E31)</f>
        <v/>
      </c>
      <c r="G31" s="32">
        <f>IF(A31="","",IFERROR(INDEX(Pedidos!$L$5:$L$300,MATCH(A31,Pedidos!$A$5:$A$300,0)),"Pedido no existe"))</f>
        <v/>
      </c>
    </row>
    <row r="32" ht="15" customHeight="1" s="19">
      <c r="A32" s="28" t="n"/>
      <c r="B32" s="28" t="n"/>
      <c r="C32" s="32">
        <f>IF(B32="","",IFERROR(INDEX(Inventario!$B$5:$B$200,MATCH(B32,Inventario!$A$5:$A$200,0)),"SKU no existe"))</f>
        <v/>
      </c>
      <c r="D32" s="28" t="n"/>
      <c r="E32" s="33">
        <f>IF(B32="","",IFERROR(INDEX(Inventario!$D$5:$D$200,MATCH(B32,Inventario!$A$5:$A$200,0)),0))</f>
        <v/>
      </c>
      <c r="F32" s="33">
        <f>IF(OR(B32="",D32=""),"",D32*E32)</f>
        <v/>
      </c>
      <c r="G32" s="32">
        <f>IF(A32="","",IFERROR(INDEX(Pedidos!$L$5:$L$300,MATCH(A32,Pedidos!$A$5:$A$300,0)),"Pedido no existe"))</f>
        <v/>
      </c>
    </row>
    <row r="33" ht="15" customHeight="1" s="19">
      <c r="A33" s="28" t="n"/>
      <c r="B33" s="28" t="n"/>
      <c r="C33" s="32">
        <f>IF(B33="","",IFERROR(INDEX(Inventario!$B$5:$B$200,MATCH(B33,Inventario!$A$5:$A$200,0)),"SKU no existe"))</f>
        <v/>
      </c>
      <c r="D33" s="28" t="n"/>
      <c r="E33" s="33">
        <f>IF(B33="","",IFERROR(INDEX(Inventario!$D$5:$D$200,MATCH(B33,Inventario!$A$5:$A$200,0)),0))</f>
        <v/>
      </c>
      <c r="F33" s="33">
        <f>IF(OR(B33="",D33=""),"",D33*E33)</f>
        <v/>
      </c>
      <c r="G33" s="32">
        <f>IF(A33="","",IFERROR(INDEX(Pedidos!$L$5:$L$300,MATCH(A33,Pedidos!$A$5:$A$300,0)),"Pedido no existe"))</f>
        <v/>
      </c>
    </row>
    <row r="34" ht="15" customHeight="1" s="19">
      <c r="A34" s="28" t="n"/>
      <c r="B34" s="28" t="n"/>
      <c r="C34" s="32">
        <f>IF(B34="","",IFERROR(INDEX(Inventario!$B$5:$B$200,MATCH(B34,Inventario!$A$5:$A$200,0)),"SKU no existe"))</f>
        <v/>
      </c>
      <c r="D34" s="28" t="n"/>
      <c r="E34" s="33">
        <f>IF(B34="","",IFERROR(INDEX(Inventario!$D$5:$D$200,MATCH(B34,Inventario!$A$5:$A$200,0)),0))</f>
        <v/>
      </c>
      <c r="F34" s="33">
        <f>IF(OR(B34="",D34=""),"",D34*E34)</f>
        <v/>
      </c>
      <c r="G34" s="32">
        <f>IF(A34="","",IFERROR(INDEX(Pedidos!$L$5:$L$300,MATCH(A34,Pedidos!$A$5:$A$300,0)),"Pedido no existe"))</f>
        <v/>
      </c>
    </row>
    <row r="35" ht="15" customHeight="1" s="19">
      <c r="A35" s="28" t="n"/>
      <c r="B35" s="28" t="n"/>
      <c r="C35" s="32">
        <f>IF(B35="","",IFERROR(INDEX(Inventario!$B$5:$B$200,MATCH(B35,Inventario!$A$5:$A$200,0)),"SKU no existe"))</f>
        <v/>
      </c>
      <c r="D35" s="28" t="n"/>
      <c r="E35" s="33">
        <f>IF(B35="","",IFERROR(INDEX(Inventario!$D$5:$D$200,MATCH(B35,Inventario!$A$5:$A$200,0)),0))</f>
        <v/>
      </c>
      <c r="F35" s="33">
        <f>IF(OR(B35="",D35=""),"",D35*E35)</f>
        <v/>
      </c>
      <c r="G35" s="32">
        <f>IF(A35="","",IFERROR(INDEX(Pedidos!$L$5:$L$300,MATCH(A35,Pedidos!$A$5:$A$300,0)),"Pedido no existe"))</f>
        <v/>
      </c>
    </row>
    <row r="36" ht="15" customHeight="1" s="19">
      <c r="A36" s="28" t="n"/>
      <c r="B36" s="28" t="n"/>
      <c r="C36" s="32">
        <f>IF(B36="","",IFERROR(INDEX(Inventario!$B$5:$B$200,MATCH(B36,Inventario!$A$5:$A$200,0)),"SKU no existe"))</f>
        <v/>
      </c>
      <c r="D36" s="28" t="n"/>
      <c r="E36" s="33">
        <f>IF(B36="","",IFERROR(INDEX(Inventario!$D$5:$D$200,MATCH(B36,Inventario!$A$5:$A$200,0)),0))</f>
        <v/>
      </c>
      <c r="F36" s="33">
        <f>IF(OR(B36="",D36=""),"",D36*E36)</f>
        <v/>
      </c>
      <c r="G36" s="32">
        <f>IF(A36="","",IFERROR(INDEX(Pedidos!$L$5:$L$300,MATCH(A36,Pedidos!$A$5:$A$300,0)),"Pedido no existe"))</f>
        <v/>
      </c>
    </row>
    <row r="37" ht="15" customHeight="1" s="19">
      <c r="A37" s="28" t="n"/>
      <c r="B37" s="28" t="n"/>
      <c r="C37" s="32">
        <f>IF(B37="","",IFERROR(INDEX(Inventario!$B$5:$B$200,MATCH(B37,Inventario!$A$5:$A$200,0)),"SKU no existe"))</f>
        <v/>
      </c>
      <c r="D37" s="28" t="n"/>
      <c r="E37" s="33">
        <f>IF(B37="","",IFERROR(INDEX(Inventario!$D$5:$D$200,MATCH(B37,Inventario!$A$5:$A$200,0)),0))</f>
        <v/>
      </c>
      <c r="F37" s="33">
        <f>IF(OR(B37="",D37=""),"",D37*E37)</f>
        <v/>
      </c>
      <c r="G37" s="32">
        <f>IF(A37="","",IFERROR(INDEX(Pedidos!$L$5:$L$300,MATCH(A37,Pedidos!$A$5:$A$300,0)),"Pedido no existe"))</f>
        <v/>
      </c>
    </row>
    <row r="38" ht="15" customHeight="1" s="19">
      <c r="A38" s="28" t="n"/>
      <c r="B38" s="28" t="n"/>
      <c r="C38" s="32">
        <f>IF(B38="","",IFERROR(INDEX(Inventario!$B$5:$B$200,MATCH(B38,Inventario!$A$5:$A$200,0)),"SKU no existe"))</f>
        <v/>
      </c>
      <c r="D38" s="28" t="n"/>
      <c r="E38" s="33">
        <f>IF(B38="","",IFERROR(INDEX(Inventario!$D$5:$D$200,MATCH(B38,Inventario!$A$5:$A$200,0)),0))</f>
        <v/>
      </c>
      <c r="F38" s="33">
        <f>IF(OR(B38="",D38=""),"",D38*E38)</f>
        <v/>
      </c>
      <c r="G38" s="32">
        <f>IF(A38="","",IFERROR(INDEX(Pedidos!$L$5:$L$300,MATCH(A38,Pedidos!$A$5:$A$300,0)),"Pedido no existe"))</f>
        <v/>
      </c>
    </row>
    <row r="39" ht="15" customHeight="1" s="19">
      <c r="A39" s="28" t="n"/>
      <c r="B39" s="28" t="n"/>
      <c r="C39" s="32">
        <f>IF(B39="","",IFERROR(INDEX(Inventario!$B$5:$B$200,MATCH(B39,Inventario!$A$5:$A$200,0)),"SKU no existe"))</f>
        <v/>
      </c>
      <c r="D39" s="28" t="n"/>
      <c r="E39" s="33">
        <f>IF(B39="","",IFERROR(INDEX(Inventario!$D$5:$D$200,MATCH(B39,Inventario!$A$5:$A$200,0)),0))</f>
        <v/>
      </c>
      <c r="F39" s="33">
        <f>IF(OR(B39="",D39=""),"",D39*E39)</f>
        <v/>
      </c>
      <c r="G39" s="32">
        <f>IF(A39="","",IFERROR(INDEX(Pedidos!$L$5:$L$300,MATCH(A39,Pedidos!$A$5:$A$300,0)),"Pedido no existe"))</f>
        <v/>
      </c>
    </row>
    <row r="40" ht="15" customHeight="1" s="19">
      <c r="A40" s="28" t="n"/>
      <c r="B40" s="28" t="n"/>
      <c r="C40" s="32">
        <f>IF(B40="","",IFERROR(INDEX(Inventario!$B$5:$B$200,MATCH(B40,Inventario!$A$5:$A$200,0)),"SKU no existe"))</f>
        <v/>
      </c>
      <c r="D40" s="28" t="n"/>
      <c r="E40" s="33">
        <f>IF(B40="","",IFERROR(INDEX(Inventario!$D$5:$D$200,MATCH(B40,Inventario!$A$5:$A$200,0)),0))</f>
        <v/>
      </c>
      <c r="F40" s="33">
        <f>IF(OR(B40="",D40=""),"",D40*E40)</f>
        <v/>
      </c>
      <c r="G40" s="32">
        <f>IF(A40="","",IFERROR(INDEX(Pedidos!$L$5:$L$300,MATCH(A40,Pedidos!$A$5:$A$300,0)),"Pedido no existe"))</f>
        <v/>
      </c>
    </row>
    <row r="41" ht="15" customHeight="1" s="19">
      <c r="A41" s="28" t="n"/>
      <c r="B41" s="28" t="n"/>
      <c r="C41" s="32">
        <f>IF(B41="","",IFERROR(INDEX(Inventario!$B$5:$B$200,MATCH(B41,Inventario!$A$5:$A$200,0)),"SKU no existe"))</f>
        <v/>
      </c>
      <c r="D41" s="28" t="n"/>
      <c r="E41" s="33">
        <f>IF(B41="","",IFERROR(INDEX(Inventario!$D$5:$D$200,MATCH(B41,Inventario!$A$5:$A$200,0)),0))</f>
        <v/>
      </c>
      <c r="F41" s="33">
        <f>IF(OR(B41="",D41=""),"",D41*E41)</f>
        <v/>
      </c>
      <c r="G41" s="32">
        <f>IF(A41="","",IFERROR(INDEX(Pedidos!$L$5:$L$300,MATCH(A41,Pedidos!$A$5:$A$300,0)),"Pedido no existe"))</f>
        <v/>
      </c>
    </row>
    <row r="42" ht="15" customHeight="1" s="19">
      <c r="A42" s="28" t="n"/>
      <c r="B42" s="28" t="n"/>
      <c r="C42" s="32">
        <f>IF(B42="","",IFERROR(INDEX(Inventario!$B$5:$B$200,MATCH(B42,Inventario!$A$5:$A$200,0)),"SKU no existe"))</f>
        <v/>
      </c>
      <c r="D42" s="28" t="n"/>
      <c r="E42" s="33">
        <f>IF(B42="","",IFERROR(INDEX(Inventario!$D$5:$D$200,MATCH(B42,Inventario!$A$5:$A$200,0)),0))</f>
        <v/>
      </c>
      <c r="F42" s="33">
        <f>IF(OR(B42="",D42=""),"",D42*E42)</f>
        <v/>
      </c>
      <c r="G42" s="32">
        <f>IF(A42="","",IFERROR(INDEX(Pedidos!$L$5:$L$300,MATCH(A42,Pedidos!$A$5:$A$300,0)),"Pedido no existe"))</f>
        <v/>
      </c>
    </row>
    <row r="43" ht="15" customHeight="1" s="19">
      <c r="A43" s="28" t="n"/>
      <c r="B43" s="28" t="n"/>
      <c r="C43" s="32">
        <f>IF(B43="","",IFERROR(INDEX(Inventario!$B$5:$B$200,MATCH(B43,Inventario!$A$5:$A$200,0)),"SKU no existe"))</f>
        <v/>
      </c>
      <c r="D43" s="28" t="n"/>
      <c r="E43" s="33">
        <f>IF(B43="","",IFERROR(INDEX(Inventario!$D$5:$D$200,MATCH(B43,Inventario!$A$5:$A$200,0)),0))</f>
        <v/>
      </c>
      <c r="F43" s="33">
        <f>IF(OR(B43="",D43=""),"",D43*E43)</f>
        <v/>
      </c>
      <c r="G43" s="32">
        <f>IF(A43="","",IFERROR(INDEX(Pedidos!$L$5:$L$300,MATCH(A43,Pedidos!$A$5:$A$300,0)),"Pedido no existe"))</f>
        <v/>
      </c>
    </row>
    <row r="44" ht="15" customHeight="1" s="19">
      <c r="A44" s="28" t="n"/>
      <c r="B44" s="28" t="n"/>
      <c r="C44" s="32">
        <f>IF(B44="","",IFERROR(INDEX(Inventario!$B$5:$B$200,MATCH(B44,Inventario!$A$5:$A$200,0)),"SKU no existe"))</f>
        <v/>
      </c>
      <c r="D44" s="28" t="n"/>
      <c r="E44" s="33">
        <f>IF(B44="","",IFERROR(INDEX(Inventario!$D$5:$D$200,MATCH(B44,Inventario!$A$5:$A$200,0)),0))</f>
        <v/>
      </c>
      <c r="F44" s="33">
        <f>IF(OR(B44="",D44=""),"",D44*E44)</f>
        <v/>
      </c>
      <c r="G44" s="32">
        <f>IF(A44="","",IFERROR(INDEX(Pedidos!$L$5:$L$300,MATCH(A44,Pedidos!$A$5:$A$300,0)),"Pedido no existe"))</f>
        <v/>
      </c>
    </row>
    <row r="45" ht="15" customHeight="1" s="19">
      <c r="A45" s="28" t="n"/>
      <c r="B45" s="28" t="n"/>
      <c r="C45" s="32">
        <f>IF(B45="","",IFERROR(INDEX(Inventario!$B$5:$B$200,MATCH(B45,Inventario!$A$5:$A$200,0)),"SKU no existe"))</f>
        <v/>
      </c>
      <c r="D45" s="28" t="n"/>
      <c r="E45" s="33">
        <f>IF(B45="","",IFERROR(INDEX(Inventario!$D$5:$D$200,MATCH(B45,Inventario!$A$5:$A$200,0)),0))</f>
        <v/>
      </c>
      <c r="F45" s="33">
        <f>IF(OR(B45="",D45=""),"",D45*E45)</f>
        <v/>
      </c>
      <c r="G45" s="32">
        <f>IF(A45="","",IFERROR(INDEX(Pedidos!$L$5:$L$300,MATCH(A45,Pedidos!$A$5:$A$300,0)),"Pedido no existe"))</f>
        <v/>
      </c>
    </row>
    <row r="46" ht="15" customHeight="1" s="19">
      <c r="A46" s="28" t="n"/>
      <c r="B46" s="28" t="n"/>
      <c r="C46" s="32">
        <f>IF(B46="","",IFERROR(INDEX(Inventario!$B$5:$B$200,MATCH(B46,Inventario!$A$5:$A$200,0)),"SKU no existe"))</f>
        <v/>
      </c>
      <c r="D46" s="28" t="n"/>
      <c r="E46" s="33">
        <f>IF(B46="","",IFERROR(INDEX(Inventario!$D$5:$D$200,MATCH(B46,Inventario!$A$5:$A$200,0)),0))</f>
        <v/>
      </c>
      <c r="F46" s="33">
        <f>IF(OR(B46="",D46=""),"",D46*E46)</f>
        <v/>
      </c>
      <c r="G46" s="32">
        <f>IF(A46="","",IFERROR(INDEX(Pedidos!$L$5:$L$300,MATCH(A46,Pedidos!$A$5:$A$300,0)),"Pedido no existe"))</f>
        <v/>
      </c>
    </row>
    <row r="47" ht="15" customHeight="1" s="19">
      <c r="A47" s="28" t="n"/>
      <c r="B47" s="28" t="n"/>
      <c r="C47" s="32">
        <f>IF(B47="","",IFERROR(INDEX(Inventario!$B$5:$B$200,MATCH(B47,Inventario!$A$5:$A$200,0)),"SKU no existe"))</f>
        <v/>
      </c>
      <c r="D47" s="28" t="n"/>
      <c r="E47" s="33">
        <f>IF(B47="","",IFERROR(INDEX(Inventario!$D$5:$D$200,MATCH(B47,Inventario!$A$5:$A$200,0)),0))</f>
        <v/>
      </c>
      <c r="F47" s="33">
        <f>IF(OR(B47="",D47=""),"",D47*E47)</f>
        <v/>
      </c>
      <c r="G47" s="32">
        <f>IF(A47="","",IFERROR(INDEX(Pedidos!$L$5:$L$300,MATCH(A47,Pedidos!$A$5:$A$300,0)),"Pedido no existe"))</f>
        <v/>
      </c>
    </row>
    <row r="48" ht="15" customHeight="1" s="19">
      <c r="A48" s="28" t="n"/>
      <c r="B48" s="28" t="n"/>
      <c r="C48" s="32">
        <f>IF(B48="","",IFERROR(INDEX(Inventario!$B$5:$B$200,MATCH(B48,Inventario!$A$5:$A$200,0)),"SKU no existe"))</f>
        <v/>
      </c>
      <c r="D48" s="28" t="n"/>
      <c r="E48" s="33">
        <f>IF(B48="","",IFERROR(INDEX(Inventario!$D$5:$D$200,MATCH(B48,Inventario!$A$5:$A$200,0)),0))</f>
        <v/>
      </c>
      <c r="F48" s="33">
        <f>IF(OR(B48="",D48=""),"",D48*E48)</f>
        <v/>
      </c>
      <c r="G48" s="32">
        <f>IF(A48="","",IFERROR(INDEX(Pedidos!$L$5:$L$300,MATCH(A48,Pedidos!$A$5:$A$300,0)),"Pedido no existe"))</f>
        <v/>
      </c>
    </row>
    <row r="49" ht="15" customHeight="1" s="19">
      <c r="A49" s="28" t="n"/>
      <c r="B49" s="28" t="n"/>
      <c r="C49" s="32">
        <f>IF(B49="","",IFERROR(INDEX(Inventario!$B$5:$B$200,MATCH(B49,Inventario!$A$5:$A$200,0)),"SKU no existe"))</f>
        <v/>
      </c>
      <c r="D49" s="28" t="n"/>
      <c r="E49" s="33">
        <f>IF(B49="","",IFERROR(INDEX(Inventario!$D$5:$D$200,MATCH(B49,Inventario!$A$5:$A$200,0)),0))</f>
        <v/>
      </c>
      <c r="F49" s="33">
        <f>IF(OR(B49="",D49=""),"",D49*E49)</f>
        <v/>
      </c>
      <c r="G49" s="32">
        <f>IF(A49="","",IFERROR(INDEX(Pedidos!$L$5:$L$300,MATCH(A49,Pedidos!$A$5:$A$300,0)),"Pedido no existe"))</f>
        <v/>
      </c>
    </row>
    <row r="50" ht="15" customHeight="1" s="19">
      <c r="A50" s="28" t="n"/>
      <c r="B50" s="28" t="n"/>
      <c r="C50" s="32">
        <f>IF(B50="","",IFERROR(INDEX(Inventario!$B$5:$B$200,MATCH(B50,Inventario!$A$5:$A$200,0)),"SKU no existe"))</f>
        <v/>
      </c>
      <c r="D50" s="28" t="n"/>
      <c r="E50" s="33">
        <f>IF(B50="","",IFERROR(INDEX(Inventario!$D$5:$D$200,MATCH(B50,Inventario!$A$5:$A$200,0)),0))</f>
        <v/>
      </c>
      <c r="F50" s="33">
        <f>IF(OR(B50="",D50=""),"",D50*E50)</f>
        <v/>
      </c>
      <c r="G50" s="32">
        <f>IF(A50="","",IFERROR(INDEX(Pedidos!$L$5:$L$300,MATCH(A50,Pedidos!$A$5:$A$300,0)),"Pedido no existe"))</f>
        <v/>
      </c>
    </row>
    <row r="51" ht="15" customHeight="1" s="19">
      <c r="A51" s="28" t="n"/>
      <c r="B51" s="28" t="n"/>
      <c r="C51" s="32">
        <f>IF(B51="","",IFERROR(INDEX(Inventario!$B$5:$B$200,MATCH(B51,Inventario!$A$5:$A$200,0)),"SKU no existe"))</f>
        <v/>
      </c>
      <c r="D51" s="28" t="n"/>
      <c r="E51" s="33">
        <f>IF(B51="","",IFERROR(INDEX(Inventario!$D$5:$D$200,MATCH(B51,Inventario!$A$5:$A$200,0)),0))</f>
        <v/>
      </c>
      <c r="F51" s="33">
        <f>IF(OR(B51="",D51=""),"",D51*E51)</f>
        <v/>
      </c>
      <c r="G51" s="32">
        <f>IF(A51="","",IFERROR(INDEX(Pedidos!$L$5:$L$300,MATCH(A51,Pedidos!$A$5:$A$300,0)),"Pedido no existe"))</f>
        <v/>
      </c>
    </row>
    <row r="52" ht="15" customHeight="1" s="19">
      <c r="A52" s="28" t="n"/>
      <c r="B52" s="28" t="n"/>
      <c r="C52" s="32">
        <f>IF(B52="","",IFERROR(INDEX(Inventario!$B$5:$B$200,MATCH(B52,Inventario!$A$5:$A$200,0)),"SKU no existe"))</f>
        <v/>
      </c>
      <c r="D52" s="28" t="n"/>
      <c r="E52" s="33">
        <f>IF(B52="","",IFERROR(INDEX(Inventario!$D$5:$D$200,MATCH(B52,Inventario!$A$5:$A$200,0)),0))</f>
        <v/>
      </c>
      <c r="F52" s="33">
        <f>IF(OR(B52="",D52=""),"",D52*E52)</f>
        <v/>
      </c>
      <c r="G52" s="32">
        <f>IF(A52="","",IFERROR(INDEX(Pedidos!$L$5:$L$300,MATCH(A52,Pedidos!$A$5:$A$300,0)),"Pedido no existe"))</f>
        <v/>
      </c>
    </row>
    <row r="53" ht="15" customHeight="1" s="19">
      <c r="A53" s="28" t="n"/>
      <c r="B53" s="28" t="n"/>
      <c r="C53" s="32">
        <f>IF(B53="","",IFERROR(INDEX(Inventario!$B$5:$B$200,MATCH(B53,Inventario!$A$5:$A$200,0)),"SKU no existe"))</f>
        <v/>
      </c>
      <c r="D53" s="28" t="n"/>
      <c r="E53" s="33">
        <f>IF(B53="","",IFERROR(INDEX(Inventario!$D$5:$D$200,MATCH(B53,Inventario!$A$5:$A$200,0)),0))</f>
        <v/>
      </c>
      <c r="F53" s="33">
        <f>IF(OR(B53="",D53=""),"",D53*E53)</f>
        <v/>
      </c>
      <c r="G53" s="32">
        <f>IF(A53="","",IFERROR(INDEX(Pedidos!$L$5:$L$300,MATCH(A53,Pedidos!$A$5:$A$300,0)),"Pedido no existe"))</f>
        <v/>
      </c>
    </row>
    <row r="54" ht="15" customHeight="1" s="19">
      <c r="A54" s="28" t="n"/>
      <c r="B54" s="28" t="n"/>
      <c r="C54" s="32">
        <f>IF(B54="","",IFERROR(INDEX(Inventario!$B$5:$B$200,MATCH(B54,Inventario!$A$5:$A$200,0)),"SKU no existe"))</f>
        <v/>
      </c>
      <c r="D54" s="28" t="n"/>
      <c r="E54" s="33">
        <f>IF(B54="","",IFERROR(INDEX(Inventario!$D$5:$D$200,MATCH(B54,Inventario!$A$5:$A$200,0)),0))</f>
        <v/>
      </c>
      <c r="F54" s="33">
        <f>IF(OR(B54="",D54=""),"",D54*E54)</f>
        <v/>
      </c>
      <c r="G54" s="32">
        <f>IF(A54="","",IFERROR(INDEX(Pedidos!$L$5:$L$300,MATCH(A54,Pedidos!$A$5:$A$300,0)),"Pedido no existe"))</f>
        <v/>
      </c>
    </row>
    <row r="55" ht="15" customHeight="1" s="19">
      <c r="A55" s="28" t="n"/>
      <c r="B55" s="28" t="n"/>
      <c r="C55" s="32">
        <f>IF(B55="","",IFERROR(INDEX(Inventario!$B$5:$B$200,MATCH(B55,Inventario!$A$5:$A$200,0)),"SKU no existe"))</f>
        <v/>
      </c>
      <c r="D55" s="28" t="n"/>
      <c r="E55" s="33">
        <f>IF(B55="","",IFERROR(INDEX(Inventario!$D$5:$D$200,MATCH(B55,Inventario!$A$5:$A$200,0)),0))</f>
        <v/>
      </c>
      <c r="F55" s="33">
        <f>IF(OR(B55="",D55=""),"",D55*E55)</f>
        <v/>
      </c>
      <c r="G55" s="32">
        <f>IF(A55="","",IFERROR(INDEX(Pedidos!$L$5:$L$300,MATCH(A55,Pedidos!$A$5:$A$300,0)),"Pedido no existe"))</f>
        <v/>
      </c>
    </row>
    <row r="56" ht="15" customHeight="1" s="19">
      <c r="A56" s="28" t="n"/>
      <c r="B56" s="28" t="n"/>
      <c r="C56" s="32">
        <f>IF(B56="","",IFERROR(INDEX(Inventario!$B$5:$B$200,MATCH(B56,Inventario!$A$5:$A$200,0)),"SKU no existe"))</f>
        <v/>
      </c>
      <c r="D56" s="28" t="n"/>
      <c r="E56" s="33">
        <f>IF(B56="","",IFERROR(INDEX(Inventario!$D$5:$D$200,MATCH(B56,Inventario!$A$5:$A$200,0)),0))</f>
        <v/>
      </c>
      <c r="F56" s="33">
        <f>IF(OR(B56="",D56=""),"",D56*E56)</f>
        <v/>
      </c>
      <c r="G56" s="32">
        <f>IF(A56="","",IFERROR(INDEX(Pedidos!$L$5:$L$300,MATCH(A56,Pedidos!$A$5:$A$300,0)),"Pedido no existe"))</f>
        <v/>
      </c>
    </row>
    <row r="57" ht="15" customHeight="1" s="19">
      <c r="A57" s="28" t="n"/>
      <c r="B57" s="28" t="n"/>
      <c r="C57" s="32">
        <f>IF(B57="","",IFERROR(INDEX(Inventario!$B$5:$B$200,MATCH(B57,Inventario!$A$5:$A$200,0)),"SKU no existe"))</f>
        <v/>
      </c>
      <c r="D57" s="28" t="n"/>
      <c r="E57" s="33">
        <f>IF(B57="","",IFERROR(INDEX(Inventario!$D$5:$D$200,MATCH(B57,Inventario!$A$5:$A$200,0)),0))</f>
        <v/>
      </c>
      <c r="F57" s="33">
        <f>IF(OR(B57="",D57=""),"",D57*E57)</f>
        <v/>
      </c>
      <c r="G57" s="32">
        <f>IF(A57="","",IFERROR(INDEX(Pedidos!$L$5:$L$300,MATCH(A57,Pedidos!$A$5:$A$300,0)),"Pedido no existe"))</f>
        <v/>
      </c>
    </row>
    <row r="58" ht="15" customHeight="1" s="19">
      <c r="A58" s="28" t="n"/>
      <c r="B58" s="28" t="n"/>
      <c r="C58" s="32">
        <f>IF(B58="","",IFERROR(INDEX(Inventario!$B$5:$B$200,MATCH(B58,Inventario!$A$5:$A$200,0)),"SKU no existe"))</f>
        <v/>
      </c>
      <c r="D58" s="28" t="n"/>
      <c r="E58" s="33">
        <f>IF(B58="","",IFERROR(INDEX(Inventario!$D$5:$D$200,MATCH(B58,Inventario!$A$5:$A$200,0)),0))</f>
        <v/>
      </c>
      <c r="F58" s="33">
        <f>IF(OR(B58="",D58=""),"",D58*E58)</f>
        <v/>
      </c>
      <c r="G58" s="32">
        <f>IF(A58="","",IFERROR(INDEX(Pedidos!$L$5:$L$300,MATCH(A58,Pedidos!$A$5:$A$300,0)),"Pedido no existe"))</f>
        <v/>
      </c>
    </row>
    <row r="59" ht="15" customHeight="1" s="19">
      <c r="A59" s="28" t="n"/>
      <c r="B59" s="28" t="n"/>
      <c r="C59" s="32">
        <f>IF(B59="","",IFERROR(INDEX(Inventario!$B$5:$B$200,MATCH(B59,Inventario!$A$5:$A$200,0)),"SKU no existe"))</f>
        <v/>
      </c>
      <c r="D59" s="28" t="n"/>
      <c r="E59" s="33">
        <f>IF(B59="","",IFERROR(INDEX(Inventario!$D$5:$D$200,MATCH(B59,Inventario!$A$5:$A$200,0)),0))</f>
        <v/>
      </c>
      <c r="F59" s="33">
        <f>IF(OR(B59="",D59=""),"",D59*E59)</f>
        <v/>
      </c>
      <c r="G59" s="32">
        <f>IF(A59="","",IFERROR(INDEX(Pedidos!$L$5:$L$300,MATCH(A59,Pedidos!$A$5:$A$300,0)),"Pedido no existe"))</f>
        <v/>
      </c>
    </row>
    <row r="60" ht="15" customHeight="1" s="19">
      <c r="A60" s="28" t="n"/>
      <c r="B60" s="28" t="n"/>
      <c r="C60" s="32">
        <f>IF(B60="","",IFERROR(INDEX(Inventario!$B$5:$B$200,MATCH(B60,Inventario!$A$5:$A$200,0)),"SKU no existe"))</f>
        <v/>
      </c>
      <c r="D60" s="28" t="n"/>
      <c r="E60" s="33">
        <f>IF(B60="","",IFERROR(INDEX(Inventario!$D$5:$D$200,MATCH(B60,Inventario!$A$5:$A$200,0)),0))</f>
        <v/>
      </c>
      <c r="F60" s="33">
        <f>IF(OR(B60="",D60=""),"",D60*E60)</f>
        <v/>
      </c>
      <c r="G60" s="32">
        <f>IF(A60="","",IFERROR(INDEX(Pedidos!$L$5:$L$300,MATCH(A60,Pedidos!$A$5:$A$300,0)),"Pedido no existe"))</f>
        <v/>
      </c>
    </row>
    <row r="61" ht="15" customHeight="1" s="19">
      <c r="A61" s="28" t="n"/>
      <c r="B61" s="28" t="n"/>
      <c r="C61" s="32">
        <f>IF(B61="","",IFERROR(INDEX(Inventario!$B$5:$B$200,MATCH(B61,Inventario!$A$5:$A$200,0)),"SKU no existe"))</f>
        <v/>
      </c>
      <c r="D61" s="28" t="n"/>
      <c r="E61" s="33">
        <f>IF(B61="","",IFERROR(INDEX(Inventario!$D$5:$D$200,MATCH(B61,Inventario!$A$5:$A$200,0)),0))</f>
        <v/>
      </c>
      <c r="F61" s="33">
        <f>IF(OR(B61="",D61=""),"",D61*E61)</f>
        <v/>
      </c>
      <c r="G61" s="32">
        <f>IF(A61="","",IFERROR(INDEX(Pedidos!$L$5:$L$300,MATCH(A61,Pedidos!$A$5:$A$300,0)),"Pedido no existe"))</f>
        <v/>
      </c>
    </row>
    <row r="62" ht="15" customHeight="1" s="19">
      <c r="A62" s="28" t="n"/>
      <c r="B62" s="28" t="n"/>
      <c r="C62" s="32">
        <f>IF(B62="","",IFERROR(INDEX(Inventario!$B$5:$B$200,MATCH(B62,Inventario!$A$5:$A$200,0)),"SKU no existe"))</f>
        <v/>
      </c>
      <c r="D62" s="28" t="n"/>
      <c r="E62" s="33">
        <f>IF(B62="","",IFERROR(INDEX(Inventario!$D$5:$D$200,MATCH(B62,Inventario!$A$5:$A$200,0)),0))</f>
        <v/>
      </c>
      <c r="F62" s="33">
        <f>IF(OR(B62="",D62=""),"",D62*E62)</f>
        <v/>
      </c>
      <c r="G62" s="32">
        <f>IF(A62="","",IFERROR(INDEX(Pedidos!$L$5:$L$300,MATCH(A62,Pedidos!$A$5:$A$300,0)),"Pedido no existe"))</f>
        <v/>
      </c>
    </row>
    <row r="63" ht="15" customHeight="1" s="19">
      <c r="A63" s="28" t="n"/>
      <c r="B63" s="28" t="n"/>
      <c r="C63" s="32">
        <f>IF(B63="","",IFERROR(INDEX(Inventario!$B$5:$B$200,MATCH(B63,Inventario!$A$5:$A$200,0)),"SKU no existe"))</f>
        <v/>
      </c>
      <c r="D63" s="28" t="n"/>
      <c r="E63" s="33">
        <f>IF(B63="","",IFERROR(INDEX(Inventario!$D$5:$D$200,MATCH(B63,Inventario!$A$5:$A$200,0)),0))</f>
        <v/>
      </c>
      <c r="F63" s="33">
        <f>IF(OR(B63="",D63=""),"",D63*E63)</f>
        <v/>
      </c>
      <c r="G63" s="32">
        <f>IF(A63="","",IFERROR(INDEX(Pedidos!$L$5:$L$300,MATCH(A63,Pedidos!$A$5:$A$300,0)),"Pedido no existe"))</f>
        <v/>
      </c>
    </row>
    <row r="64" ht="15" customHeight="1" s="19">
      <c r="A64" s="28" t="n"/>
      <c r="B64" s="28" t="n"/>
      <c r="C64" s="32">
        <f>IF(B64="","",IFERROR(INDEX(Inventario!$B$5:$B$200,MATCH(B64,Inventario!$A$5:$A$200,0)),"SKU no existe"))</f>
        <v/>
      </c>
      <c r="D64" s="28" t="n"/>
      <c r="E64" s="33">
        <f>IF(B64="","",IFERROR(INDEX(Inventario!$D$5:$D$200,MATCH(B64,Inventario!$A$5:$A$200,0)),0))</f>
        <v/>
      </c>
      <c r="F64" s="33">
        <f>IF(OR(B64="",D64=""),"",D64*E64)</f>
        <v/>
      </c>
      <c r="G64" s="32">
        <f>IF(A64="","",IFERROR(INDEX(Pedidos!$L$5:$L$300,MATCH(A64,Pedidos!$A$5:$A$300,0)),"Pedido no existe"))</f>
        <v/>
      </c>
    </row>
    <row r="65" ht="15" customHeight="1" s="19">
      <c r="A65" s="28" t="n"/>
      <c r="B65" s="28" t="n"/>
      <c r="C65" s="32">
        <f>IF(B65="","",IFERROR(INDEX(Inventario!$B$5:$B$200,MATCH(B65,Inventario!$A$5:$A$200,0)),"SKU no existe"))</f>
        <v/>
      </c>
      <c r="D65" s="28" t="n"/>
      <c r="E65" s="33">
        <f>IF(B65="","",IFERROR(INDEX(Inventario!$D$5:$D$200,MATCH(B65,Inventario!$A$5:$A$200,0)),0))</f>
        <v/>
      </c>
      <c r="F65" s="33">
        <f>IF(OR(B65="",D65=""),"",D65*E65)</f>
        <v/>
      </c>
      <c r="G65" s="32">
        <f>IF(A65="","",IFERROR(INDEX(Pedidos!$L$5:$L$300,MATCH(A65,Pedidos!$A$5:$A$300,0)),"Pedido no existe"))</f>
        <v/>
      </c>
    </row>
    <row r="66" ht="15" customHeight="1" s="19">
      <c r="A66" s="28" t="n"/>
      <c r="B66" s="28" t="n"/>
      <c r="C66" s="32">
        <f>IF(B66="","",IFERROR(INDEX(Inventario!$B$5:$B$200,MATCH(B66,Inventario!$A$5:$A$200,0)),"SKU no existe"))</f>
        <v/>
      </c>
      <c r="D66" s="28" t="n"/>
      <c r="E66" s="33">
        <f>IF(B66="","",IFERROR(INDEX(Inventario!$D$5:$D$200,MATCH(B66,Inventario!$A$5:$A$200,0)),0))</f>
        <v/>
      </c>
      <c r="F66" s="33">
        <f>IF(OR(B66="",D66=""),"",D66*E66)</f>
        <v/>
      </c>
      <c r="G66" s="32">
        <f>IF(A66="","",IFERROR(INDEX(Pedidos!$L$5:$L$300,MATCH(A66,Pedidos!$A$5:$A$300,0)),"Pedido no existe"))</f>
        <v/>
      </c>
    </row>
    <row r="67" ht="15" customHeight="1" s="19">
      <c r="A67" s="28" t="n"/>
      <c r="B67" s="28" t="n"/>
      <c r="C67" s="32">
        <f>IF(B67="","",IFERROR(INDEX(Inventario!$B$5:$B$200,MATCH(B67,Inventario!$A$5:$A$200,0)),"SKU no existe"))</f>
        <v/>
      </c>
      <c r="D67" s="28" t="n"/>
      <c r="E67" s="33">
        <f>IF(B67="","",IFERROR(INDEX(Inventario!$D$5:$D$200,MATCH(B67,Inventario!$A$5:$A$200,0)),0))</f>
        <v/>
      </c>
      <c r="F67" s="33">
        <f>IF(OR(B67="",D67=""),"",D67*E67)</f>
        <v/>
      </c>
      <c r="G67" s="32">
        <f>IF(A67="","",IFERROR(INDEX(Pedidos!$L$5:$L$300,MATCH(A67,Pedidos!$A$5:$A$300,0)),"Pedido no existe"))</f>
        <v/>
      </c>
    </row>
    <row r="68" ht="15" customHeight="1" s="19">
      <c r="A68" s="28" t="n"/>
      <c r="B68" s="28" t="n"/>
      <c r="C68" s="32">
        <f>IF(B68="","",IFERROR(INDEX(Inventario!$B$5:$B$200,MATCH(B68,Inventario!$A$5:$A$200,0)),"SKU no existe"))</f>
        <v/>
      </c>
      <c r="D68" s="28" t="n"/>
      <c r="E68" s="33">
        <f>IF(B68="","",IFERROR(INDEX(Inventario!$D$5:$D$200,MATCH(B68,Inventario!$A$5:$A$200,0)),0))</f>
        <v/>
      </c>
      <c r="F68" s="33">
        <f>IF(OR(B68="",D68=""),"",D68*E68)</f>
        <v/>
      </c>
      <c r="G68" s="32">
        <f>IF(A68="","",IFERROR(INDEX(Pedidos!$L$5:$L$300,MATCH(A68,Pedidos!$A$5:$A$300,0)),"Pedido no existe"))</f>
        <v/>
      </c>
    </row>
    <row r="69" ht="15" customHeight="1" s="19">
      <c r="A69" s="28" t="n"/>
      <c r="B69" s="28" t="n"/>
      <c r="C69" s="32">
        <f>IF(B69="","",IFERROR(INDEX(Inventario!$B$5:$B$200,MATCH(B69,Inventario!$A$5:$A$200,0)),"SKU no existe"))</f>
        <v/>
      </c>
      <c r="D69" s="28" t="n"/>
      <c r="E69" s="33">
        <f>IF(B69="","",IFERROR(INDEX(Inventario!$D$5:$D$200,MATCH(B69,Inventario!$A$5:$A$200,0)),0))</f>
        <v/>
      </c>
      <c r="F69" s="33">
        <f>IF(OR(B69="",D69=""),"",D69*E69)</f>
        <v/>
      </c>
      <c r="G69" s="32">
        <f>IF(A69="","",IFERROR(INDEX(Pedidos!$L$5:$L$300,MATCH(A69,Pedidos!$A$5:$A$300,0)),"Pedido no existe"))</f>
        <v/>
      </c>
    </row>
    <row r="70" ht="15" customHeight="1" s="19">
      <c r="A70" s="28" t="n"/>
      <c r="B70" s="28" t="n"/>
      <c r="C70" s="32">
        <f>IF(B70="","",IFERROR(INDEX(Inventario!$B$5:$B$200,MATCH(B70,Inventario!$A$5:$A$200,0)),"SKU no existe"))</f>
        <v/>
      </c>
      <c r="D70" s="28" t="n"/>
      <c r="E70" s="33">
        <f>IF(B70="","",IFERROR(INDEX(Inventario!$D$5:$D$200,MATCH(B70,Inventario!$A$5:$A$200,0)),0))</f>
        <v/>
      </c>
      <c r="F70" s="33">
        <f>IF(OR(B70="",D70=""),"",D70*E70)</f>
        <v/>
      </c>
      <c r="G70" s="32">
        <f>IF(A70="","",IFERROR(INDEX(Pedidos!$L$5:$L$300,MATCH(A70,Pedidos!$A$5:$A$300,0)),"Pedido no existe"))</f>
        <v/>
      </c>
    </row>
    <row r="71" ht="15" customHeight="1" s="19">
      <c r="A71" s="28" t="n"/>
      <c r="B71" s="28" t="n"/>
      <c r="C71" s="32">
        <f>IF(B71="","",IFERROR(INDEX(Inventario!$B$5:$B$200,MATCH(B71,Inventario!$A$5:$A$200,0)),"SKU no existe"))</f>
        <v/>
      </c>
      <c r="D71" s="28" t="n"/>
      <c r="E71" s="33">
        <f>IF(B71="","",IFERROR(INDEX(Inventario!$D$5:$D$200,MATCH(B71,Inventario!$A$5:$A$200,0)),0))</f>
        <v/>
      </c>
      <c r="F71" s="33">
        <f>IF(OR(B71="",D71=""),"",D71*E71)</f>
        <v/>
      </c>
      <c r="G71" s="32">
        <f>IF(A71="","",IFERROR(INDEX(Pedidos!$L$5:$L$300,MATCH(A71,Pedidos!$A$5:$A$300,0)),"Pedido no existe"))</f>
        <v/>
      </c>
    </row>
    <row r="72" ht="15" customHeight="1" s="19">
      <c r="A72" s="28" t="n"/>
      <c r="B72" s="28" t="n"/>
      <c r="C72" s="32">
        <f>IF(B72="","",IFERROR(INDEX(Inventario!$B$5:$B$200,MATCH(B72,Inventario!$A$5:$A$200,0)),"SKU no existe"))</f>
        <v/>
      </c>
      <c r="D72" s="28" t="n"/>
      <c r="E72" s="33">
        <f>IF(B72="","",IFERROR(INDEX(Inventario!$D$5:$D$200,MATCH(B72,Inventario!$A$5:$A$200,0)),0))</f>
        <v/>
      </c>
      <c r="F72" s="33">
        <f>IF(OR(B72="",D72=""),"",D72*E72)</f>
        <v/>
      </c>
      <c r="G72" s="32">
        <f>IF(A72="","",IFERROR(INDEX(Pedidos!$L$5:$L$300,MATCH(A72,Pedidos!$A$5:$A$300,0)),"Pedido no existe"))</f>
        <v/>
      </c>
    </row>
    <row r="73" ht="15" customHeight="1" s="19">
      <c r="A73" s="28" t="n"/>
      <c r="B73" s="28" t="n"/>
      <c r="C73" s="32">
        <f>IF(B73="","",IFERROR(INDEX(Inventario!$B$5:$B$200,MATCH(B73,Inventario!$A$5:$A$200,0)),"SKU no existe"))</f>
        <v/>
      </c>
      <c r="D73" s="28" t="n"/>
      <c r="E73" s="33">
        <f>IF(B73="","",IFERROR(INDEX(Inventario!$D$5:$D$200,MATCH(B73,Inventario!$A$5:$A$200,0)),0))</f>
        <v/>
      </c>
      <c r="F73" s="33">
        <f>IF(OR(B73="",D73=""),"",D73*E73)</f>
        <v/>
      </c>
      <c r="G73" s="32">
        <f>IF(A73="","",IFERROR(INDEX(Pedidos!$L$5:$L$300,MATCH(A73,Pedidos!$A$5:$A$300,0)),"Pedido no existe"))</f>
        <v/>
      </c>
    </row>
    <row r="74" ht="15" customHeight="1" s="19">
      <c r="A74" s="28" t="n"/>
      <c r="B74" s="28" t="n"/>
      <c r="C74" s="32">
        <f>IF(B74="","",IFERROR(INDEX(Inventario!$B$5:$B$200,MATCH(B74,Inventario!$A$5:$A$200,0)),"SKU no existe"))</f>
        <v/>
      </c>
      <c r="D74" s="28" t="n"/>
      <c r="E74" s="33">
        <f>IF(B74="","",IFERROR(INDEX(Inventario!$D$5:$D$200,MATCH(B74,Inventario!$A$5:$A$200,0)),0))</f>
        <v/>
      </c>
      <c r="F74" s="33">
        <f>IF(OR(B74="",D74=""),"",D74*E74)</f>
        <v/>
      </c>
      <c r="G74" s="32">
        <f>IF(A74="","",IFERROR(INDEX(Pedidos!$L$5:$L$300,MATCH(A74,Pedidos!$A$5:$A$300,0)),"Pedido no existe"))</f>
        <v/>
      </c>
    </row>
    <row r="75" ht="15" customHeight="1" s="19">
      <c r="A75" s="28" t="n"/>
      <c r="B75" s="28" t="n"/>
      <c r="C75" s="32">
        <f>IF(B75="","",IFERROR(INDEX(Inventario!$B$5:$B$200,MATCH(B75,Inventario!$A$5:$A$200,0)),"SKU no existe"))</f>
        <v/>
      </c>
      <c r="D75" s="28" t="n"/>
      <c r="E75" s="33">
        <f>IF(B75="","",IFERROR(INDEX(Inventario!$D$5:$D$200,MATCH(B75,Inventario!$A$5:$A$200,0)),0))</f>
        <v/>
      </c>
      <c r="F75" s="33">
        <f>IF(OR(B75="",D75=""),"",D75*E75)</f>
        <v/>
      </c>
      <c r="G75" s="32">
        <f>IF(A75="","",IFERROR(INDEX(Pedidos!$L$5:$L$300,MATCH(A75,Pedidos!$A$5:$A$300,0)),"Pedido no existe"))</f>
        <v/>
      </c>
    </row>
    <row r="76" ht="15" customHeight="1" s="19">
      <c r="A76" s="28" t="n"/>
      <c r="B76" s="28" t="n"/>
      <c r="C76" s="32">
        <f>IF(B76="","",IFERROR(INDEX(Inventario!$B$5:$B$200,MATCH(B76,Inventario!$A$5:$A$200,0)),"SKU no existe"))</f>
        <v/>
      </c>
      <c r="D76" s="28" t="n"/>
      <c r="E76" s="33">
        <f>IF(B76="","",IFERROR(INDEX(Inventario!$D$5:$D$200,MATCH(B76,Inventario!$A$5:$A$200,0)),0))</f>
        <v/>
      </c>
      <c r="F76" s="33">
        <f>IF(OR(B76="",D76=""),"",D76*E76)</f>
        <v/>
      </c>
      <c r="G76" s="32">
        <f>IF(A76="","",IFERROR(INDEX(Pedidos!$L$5:$L$300,MATCH(A76,Pedidos!$A$5:$A$300,0)),"Pedido no existe"))</f>
        <v/>
      </c>
    </row>
    <row r="77" ht="15" customHeight="1" s="19">
      <c r="A77" s="28" t="n"/>
      <c r="B77" s="28" t="n"/>
      <c r="C77" s="32">
        <f>IF(B77="","",IFERROR(INDEX(Inventario!$B$5:$B$200,MATCH(B77,Inventario!$A$5:$A$200,0)),"SKU no existe"))</f>
        <v/>
      </c>
      <c r="D77" s="28" t="n"/>
      <c r="E77" s="33">
        <f>IF(B77="","",IFERROR(INDEX(Inventario!$D$5:$D$200,MATCH(B77,Inventario!$A$5:$A$200,0)),0))</f>
        <v/>
      </c>
      <c r="F77" s="33">
        <f>IF(OR(B77="",D77=""),"",D77*E77)</f>
        <v/>
      </c>
      <c r="G77" s="32">
        <f>IF(A77="","",IFERROR(INDEX(Pedidos!$L$5:$L$300,MATCH(A77,Pedidos!$A$5:$A$300,0)),"Pedido no existe"))</f>
        <v/>
      </c>
    </row>
    <row r="78" ht="15" customHeight="1" s="19">
      <c r="A78" s="28" t="n"/>
      <c r="B78" s="28" t="n"/>
      <c r="C78" s="32">
        <f>IF(B78="","",IFERROR(INDEX(Inventario!$B$5:$B$200,MATCH(B78,Inventario!$A$5:$A$200,0)),"SKU no existe"))</f>
        <v/>
      </c>
      <c r="D78" s="28" t="n"/>
      <c r="E78" s="33">
        <f>IF(B78="","",IFERROR(INDEX(Inventario!$D$5:$D$200,MATCH(B78,Inventario!$A$5:$A$200,0)),0))</f>
        <v/>
      </c>
      <c r="F78" s="33">
        <f>IF(OR(B78="",D78=""),"",D78*E78)</f>
        <v/>
      </c>
      <c r="G78" s="32">
        <f>IF(A78="","",IFERROR(INDEX(Pedidos!$L$5:$L$300,MATCH(A78,Pedidos!$A$5:$A$300,0)),"Pedido no existe"))</f>
        <v/>
      </c>
    </row>
    <row r="79" ht="15" customHeight="1" s="19">
      <c r="A79" s="28" t="n"/>
      <c r="B79" s="28" t="n"/>
      <c r="C79" s="32">
        <f>IF(B79="","",IFERROR(INDEX(Inventario!$B$5:$B$200,MATCH(B79,Inventario!$A$5:$A$200,0)),"SKU no existe"))</f>
        <v/>
      </c>
      <c r="D79" s="28" t="n"/>
      <c r="E79" s="33">
        <f>IF(B79="","",IFERROR(INDEX(Inventario!$D$5:$D$200,MATCH(B79,Inventario!$A$5:$A$200,0)),0))</f>
        <v/>
      </c>
      <c r="F79" s="33">
        <f>IF(OR(B79="",D79=""),"",D79*E79)</f>
        <v/>
      </c>
      <c r="G79" s="32">
        <f>IF(A79="","",IFERROR(INDEX(Pedidos!$L$5:$L$300,MATCH(A79,Pedidos!$A$5:$A$300,0)),"Pedido no existe"))</f>
        <v/>
      </c>
    </row>
    <row r="80" ht="15" customHeight="1" s="19">
      <c r="A80" s="28" t="n"/>
      <c r="B80" s="28" t="n"/>
      <c r="C80" s="32">
        <f>IF(B80="","",IFERROR(INDEX(Inventario!$B$5:$B$200,MATCH(B80,Inventario!$A$5:$A$200,0)),"SKU no existe"))</f>
        <v/>
      </c>
      <c r="D80" s="28" t="n"/>
      <c r="E80" s="33">
        <f>IF(B80="","",IFERROR(INDEX(Inventario!$D$5:$D$200,MATCH(B80,Inventario!$A$5:$A$200,0)),0))</f>
        <v/>
      </c>
      <c r="F80" s="33">
        <f>IF(OR(B80="",D80=""),"",D80*E80)</f>
        <v/>
      </c>
      <c r="G80" s="32">
        <f>IF(A80="","",IFERROR(INDEX(Pedidos!$L$5:$L$300,MATCH(A80,Pedidos!$A$5:$A$300,0)),"Pedido no existe"))</f>
        <v/>
      </c>
    </row>
    <row r="81" ht="15" customHeight="1" s="19">
      <c r="A81" s="28" t="n"/>
      <c r="B81" s="28" t="n"/>
      <c r="C81" s="32">
        <f>IF(B81="","",IFERROR(INDEX(Inventario!$B$5:$B$200,MATCH(B81,Inventario!$A$5:$A$200,0)),"SKU no existe"))</f>
        <v/>
      </c>
      <c r="D81" s="28" t="n"/>
      <c r="E81" s="33">
        <f>IF(B81="","",IFERROR(INDEX(Inventario!$D$5:$D$200,MATCH(B81,Inventario!$A$5:$A$200,0)),0))</f>
        <v/>
      </c>
      <c r="F81" s="33">
        <f>IF(OR(B81="",D81=""),"",D81*E81)</f>
        <v/>
      </c>
      <c r="G81" s="32">
        <f>IF(A81="","",IFERROR(INDEX(Pedidos!$L$5:$L$300,MATCH(A81,Pedidos!$A$5:$A$300,0)),"Pedido no existe"))</f>
        <v/>
      </c>
    </row>
    <row r="82" ht="15" customHeight="1" s="19">
      <c r="A82" s="28" t="n"/>
      <c r="B82" s="28" t="n"/>
      <c r="C82" s="32">
        <f>IF(B82="","",IFERROR(INDEX(Inventario!$B$5:$B$200,MATCH(B82,Inventario!$A$5:$A$200,0)),"SKU no existe"))</f>
        <v/>
      </c>
      <c r="D82" s="28" t="n"/>
      <c r="E82" s="33">
        <f>IF(B82="","",IFERROR(INDEX(Inventario!$D$5:$D$200,MATCH(B82,Inventario!$A$5:$A$200,0)),0))</f>
        <v/>
      </c>
      <c r="F82" s="33">
        <f>IF(OR(B82="",D82=""),"",D82*E82)</f>
        <v/>
      </c>
      <c r="G82" s="32">
        <f>IF(A82="","",IFERROR(INDEX(Pedidos!$L$5:$L$300,MATCH(A82,Pedidos!$A$5:$A$300,0)),"Pedido no existe"))</f>
        <v/>
      </c>
    </row>
    <row r="83" ht="15" customHeight="1" s="19">
      <c r="A83" s="28" t="n"/>
      <c r="B83" s="28" t="n"/>
      <c r="C83" s="32">
        <f>IF(B83="","",IFERROR(INDEX(Inventario!$B$5:$B$200,MATCH(B83,Inventario!$A$5:$A$200,0)),"SKU no existe"))</f>
        <v/>
      </c>
      <c r="D83" s="28" t="n"/>
      <c r="E83" s="33">
        <f>IF(B83="","",IFERROR(INDEX(Inventario!$D$5:$D$200,MATCH(B83,Inventario!$A$5:$A$200,0)),0))</f>
        <v/>
      </c>
      <c r="F83" s="33">
        <f>IF(OR(B83="",D83=""),"",D83*E83)</f>
        <v/>
      </c>
      <c r="G83" s="32">
        <f>IF(A83="","",IFERROR(INDEX(Pedidos!$L$5:$L$300,MATCH(A83,Pedidos!$A$5:$A$300,0)),"Pedido no existe"))</f>
        <v/>
      </c>
    </row>
    <row r="84" ht="15" customHeight="1" s="19">
      <c r="A84" s="28" t="n"/>
      <c r="B84" s="28" t="n"/>
      <c r="C84" s="32">
        <f>IF(B84="","",IFERROR(INDEX(Inventario!$B$5:$B$200,MATCH(B84,Inventario!$A$5:$A$200,0)),"SKU no existe"))</f>
        <v/>
      </c>
      <c r="D84" s="28" t="n"/>
      <c r="E84" s="33">
        <f>IF(B84="","",IFERROR(INDEX(Inventario!$D$5:$D$200,MATCH(B84,Inventario!$A$5:$A$200,0)),0))</f>
        <v/>
      </c>
      <c r="F84" s="33">
        <f>IF(OR(B84="",D84=""),"",D84*E84)</f>
        <v/>
      </c>
      <c r="G84" s="32">
        <f>IF(A84="","",IFERROR(INDEX(Pedidos!$L$5:$L$300,MATCH(A84,Pedidos!$A$5:$A$300,0)),"Pedido no existe"))</f>
        <v/>
      </c>
    </row>
    <row r="85" ht="15" customHeight="1" s="19">
      <c r="A85" s="28" t="n"/>
      <c r="B85" s="28" t="n"/>
      <c r="C85" s="32">
        <f>IF(B85="","",IFERROR(INDEX(Inventario!$B$5:$B$200,MATCH(B85,Inventario!$A$5:$A$200,0)),"SKU no existe"))</f>
        <v/>
      </c>
      <c r="D85" s="28" t="n"/>
      <c r="E85" s="33">
        <f>IF(B85="","",IFERROR(INDEX(Inventario!$D$5:$D$200,MATCH(B85,Inventario!$A$5:$A$200,0)),0))</f>
        <v/>
      </c>
      <c r="F85" s="33">
        <f>IF(OR(B85="",D85=""),"",D85*E85)</f>
        <v/>
      </c>
      <c r="G85" s="32">
        <f>IF(A85="","",IFERROR(INDEX(Pedidos!$L$5:$L$300,MATCH(A85,Pedidos!$A$5:$A$300,0)),"Pedido no existe"))</f>
        <v/>
      </c>
    </row>
    <row r="86" ht="15" customHeight="1" s="19">
      <c r="A86" s="28" t="n"/>
      <c r="B86" s="28" t="n"/>
      <c r="C86" s="32">
        <f>IF(B86="","",IFERROR(INDEX(Inventario!$B$5:$B$200,MATCH(B86,Inventario!$A$5:$A$200,0)),"SKU no existe"))</f>
        <v/>
      </c>
      <c r="D86" s="28" t="n"/>
      <c r="E86" s="33">
        <f>IF(B86="","",IFERROR(INDEX(Inventario!$D$5:$D$200,MATCH(B86,Inventario!$A$5:$A$200,0)),0))</f>
        <v/>
      </c>
      <c r="F86" s="33">
        <f>IF(OR(B86="",D86=""),"",D86*E86)</f>
        <v/>
      </c>
      <c r="G86" s="32">
        <f>IF(A86="","",IFERROR(INDEX(Pedidos!$L$5:$L$300,MATCH(A86,Pedidos!$A$5:$A$300,0)),"Pedido no existe"))</f>
        <v/>
      </c>
    </row>
    <row r="87" ht="15" customHeight="1" s="19">
      <c r="A87" s="28" t="n"/>
      <c r="B87" s="28" t="n"/>
      <c r="C87" s="32">
        <f>IF(B87="","",IFERROR(INDEX(Inventario!$B$5:$B$200,MATCH(B87,Inventario!$A$5:$A$200,0)),"SKU no existe"))</f>
        <v/>
      </c>
      <c r="D87" s="28" t="n"/>
      <c r="E87" s="33">
        <f>IF(B87="","",IFERROR(INDEX(Inventario!$D$5:$D$200,MATCH(B87,Inventario!$A$5:$A$200,0)),0))</f>
        <v/>
      </c>
      <c r="F87" s="33">
        <f>IF(OR(B87="",D87=""),"",D87*E87)</f>
        <v/>
      </c>
      <c r="G87" s="32">
        <f>IF(A87="","",IFERROR(INDEX(Pedidos!$L$5:$L$300,MATCH(A87,Pedidos!$A$5:$A$300,0)),"Pedido no existe"))</f>
        <v/>
      </c>
    </row>
    <row r="88" ht="15" customHeight="1" s="19">
      <c r="A88" s="28" t="n"/>
      <c r="B88" s="28" t="n"/>
      <c r="C88" s="32">
        <f>IF(B88="","",IFERROR(INDEX(Inventario!$B$5:$B$200,MATCH(B88,Inventario!$A$5:$A$200,0)),"SKU no existe"))</f>
        <v/>
      </c>
      <c r="D88" s="28" t="n"/>
      <c r="E88" s="33">
        <f>IF(B88="","",IFERROR(INDEX(Inventario!$D$5:$D$200,MATCH(B88,Inventario!$A$5:$A$200,0)),0))</f>
        <v/>
      </c>
      <c r="F88" s="33">
        <f>IF(OR(B88="",D88=""),"",D88*E88)</f>
        <v/>
      </c>
      <c r="G88" s="32">
        <f>IF(A88="","",IFERROR(INDEX(Pedidos!$L$5:$L$300,MATCH(A88,Pedidos!$A$5:$A$300,0)),"Pedido no existe"))</f>
        <v/>
      </c>
    </row>
    <row r="89" ht="15" customHeight="1" s="19">
      <c r="A89" s="28" t="n"/>
      <c r="B89" s="28" t="n"/>
      <c r="C89" s="32">
        <f>IF(B89="","",IFERROR(INDEX(Inventario!$B$5:$B$200,MATCH(B89,Inventario!$A$5:$A$200,0)),"SKU no existe"))</f>
        <v/>
      </c>
      <c r="D89" s="28" t="n"/>
      <c r="E89" s="33">
        <f>IF(B89="","",IFERROR(INDEX(Inventario!$D$5:$D$200,MATCH(B89,Inventario!$A$5:$A$200,0)),0))</f>
        <v/>
      </c>
      <c r="F89" s="33">
        <f>IF(OR(B89="",D89=""),"",D89*E89)</f>
        <v/>
      </c>
      <c r="G89" s="32">
        <f>IF(A89="","",IFERROR(INDEX(Pedidos!$L$5:$L$300,MATCH(A89,Pedidos!$A$5:$A$300,0)),"Pedido no existe"))</f>
        <v/>
      </c>
    </row>
    <row r="90" ht="15" customHeight="1" s="19">
      <c r="A90" s="28" t="n"/>
      <c r="B90" s="28" t="n"/>
      <c r="C90" s="32">
        <f>IF(B90="","",IFERROR(INDEX(Inventario!$B$5:$B$200,MATCH(B90,Inventario!$A$5:$A$200,0)),"SKU no existe"))</f>
        <v/>
      </c>
      <c r="D90" s="28" t="n"/>
      <c r="E90" s="33">
        <f>IF(B90="","",IFERROR(INDEX(Inventario!$D$5:$D$200,MATCH(B90,Inventario!$A$5:$A$200,0)),0))</f>
        <v/>
      </c>
      <c r="F90" s="33">
        <f>IF(OR(B90="",D90=""),"",D90*E90)</f>
        <v/>
      </c>
      <c r="G90" s="32">
        <f>IF(A90="","",IFERROR(INDEX(Pedidos!$L$5:$L$300,MATCH(A90,Pedidos!$A$5:$A$300,0)),"Pedido no existe"))</f>
        <v/>
      </c>
    </row>
    <row r="91" ht="15" customHeight="1" s="19">
      <c r="A91" s="28" t="n"/>
      <c r="B91" s="28" t="n"/>
      <c r="C91" s="32">
        <f>IF(B91="","",IFERROR(INDEX(Inventario!$B$5:$B$200,MATCH(B91,Inventario!$A$5:$A$200,0)),"SKU no existe"))</f>
        <v/>
      </c>
      <c r="D91" s="28" t="n"/>
      <c r="E91" s="33">
        <f>IF(B91="","",IFERROR(INDEX(Inventario!$D$5:$D$200,MATCH(B91,Inventario!$A$5:$A$200,0)),0))</f>
        <v/>
      </c>
      <c r="F91" s="33">
        <f>IF(OR(B91="",D91=""),"",D91*E91)</f>
        <v/>
      </c>
      <c r="G91" s="32">
        <f>IF(A91="","",IFERROR(INDEX(Pedidos!$L$5:$L$300,MATCH(A91,Pedidos!$A$5:$A$300,0)),"Pedido no existe"))</f>
        <v/>
      </c>
    </row>
    <row r="92" ht="15" customHeight="1" s="19">
      <c r="A92" s="28" t="n"/>
      <c r="B92" s="28" t="n"/>
      <c r="C92" s="32">
        <f>IF(B92="","",IFERROR(INDEX(Inventario!$B$5:$B$200,MATCH(B92,Inventario!$A$5:$A$200,0)),"SKU no existe"))</f>
        <v/>
      </c>
      <c r="D92" s="28" t="n"/>
      <c r="E92" s="33">
        <f>IF(B92="","",IFERROR(INDEX(Inventario!$D$5:$D$200,MATCH(B92,Inventario!$A$5:$A$200,0)),0))</f>
        <v/>
      </c>
      <c r="F92" s="33">
        <f>IF(OR(B92="",D92=""),"",D92*E92)</f>
        <v/>
      </c>
      <c r="G92" s="32">
        <f>IF(A92="","",IFERROR(INDEX(Pedidos!$L$5:$L$300,MATCH(A92,Pedidos!$A$5:$A$300,0)),"Pedido no existe"))</f>
        <v/>
      </c>
    </row>
    <row r="93" ht="15" customHeight="1" s="19">
      <c r="A93" s="28" t="n"/>
      <c r="B93" s="28" t="n"/>
      <c r="C93" s="32">
        <f>IF(B93="","",IFERROR(INDEX(Inventario!$B$5:$B$200,MATCH(B93,Inventario!$A$5:$A$200,0)),"SKU no existe"))</f>
        <v/>
      </c>
      <c r="D93" s="28" t="n"/>
      <c r="E93" s="33">
        <f>IF(B93="","",IFERROR(INDEX(Inventario!$D$5:$D$200,MATCH(B93,Inventario!$A$5:$A$200,0)),0))</f>
        <v/>
      </c>
      <c r="F93" s="33">
        <f>IF(OR(B93="",D93=""),"",D93*E93)</f>
        <v/>
      </c>
      <c r="G93" s="32">
        <f>IF(A93="","",IFERROR(INDEX(Pedidos!$L$5:$L$300,MATCH(A93,Pedidos!$A$5:$A$300,0)),"Pedido no existe"))</f>
        <v/>
      </c>
    </row>
    <row r="94" ht="15" customHeight="1" s="19">
      <c r="A94" s="28" t="n"/>
      <c r="B94" s="28" t="n"/>
      <c r="C94" s="32">
        <f>IF(B94="","",IFERROR(INDEX(Inventario!$B$5:$B$200,MATCH(B94,Inventario!$A$5:$A$200,0)),"SKU no existe"))</f>
        <v/>
      </c>
      <c r="D94" s="28" t="n"/>
      <c r="E94" s="33">
        <f>IF(B94="","",IFERROR(INDEX(Inventario!$D$5:$D$200,MATCH(B94,Inventario!$A$5:$A$200,0)),0))</f>
        <v/>
      </c>
      <c r="F94" s="33">
        <f>IF(OR(B94="",D94=""),"",D94*E94)</f>
        <v/>
      </c>
      <c r="G94" s="32">
        <f>IF(A94="","",IFERROR(INDEX(Pedidos!$L$5:$L$300,MATCH(A94,Pedidos!$A$5:$A$300,0)),"Pedido no existe"))</f>
        <v/>
      </c>
    </row>
    <row r="95" ht="15" customHeight="1" s="19">
      <c r="A95" s="28" t="n"/>
      <c r="B95" s="28" t="n"/>
      <c r="C95" s="32">
        <f>IF(B95="","",IFERROR(INDEX(Inventario!$B$5:$B$200,MATCH(B95,Inventario!$A$5:$A$200,0)),"SKU no existe"))</f>
        <v/>
      </c>
      <c r="D95" s="28" t="n"/>
      <c r="E95" s="33">
        <f>IF(B95="","",IFERROR(INDEX(Inventario!$D$5:$D$200,MATCH(B95,Inventario!$A$5:$A$200,0)),0))</f>
        <v/>
      </c>
      <c r="F95" s="33">
        <f>IF(OR(B95="",D95=""),"",D95*E95)</f>
        <v/>
      </c>
      <c r="G95" s="32">
        <f>IF(A95="","",IFERROR(INDEX(Pedidos!$L$5:$L$300,MATCH(A95,Pedidos!$A$5:$A$300,0)),"Pedido no existe"))</f>
        <v/>
      </c>
    </row>
    <row r="96" ht="15" customHeight="1" s="19">
      <c r="A96" s="28" t="n"/>
      <c r="B96" s="28" t="n"/>
      <c r="C96" s="32">
        <f>IF(B96="","",IFERROR(INDEX(Inventario!$B$5:$B$200,MATCH(B96,Inventario!$A$5:$A$200,0)),"SKU no existe"))</f>
        <v/>
      </c>
      <c r="D96" s="28" t="n"/>
      <c r="E96" s="33">
        <f>IF(B96="","",IFERROR(INDEX(Inventario!$D$5:$D$200,MATCH(B96,Inventario!$A$5:$A$200,0)),0))</f>
        <v/>
      </c>
      <c r="F96" s="33">
        <f>IF(OR(B96="",D96=""),"",D96*E96)</f>
        <v/>
      </c>
      <c r="G96" s="32">
        <f>IF(A96="","",IFERROR(INDEX(Pedidos!$L$5:$L$300,MATCH(A96,Pedidos!$A$5:$A$300,0)),"Pedido no existe"))</f>
        <v/>
      </c>
    </row>
    <row r="97" ht="15" customHeight="1" s="19">
      <c r="A97" s="28" t="n"/>
      <c r="B97" s="28" t="n"/>
      <c r="C97" s="32">
        <f>IF(B97="","",IFERROR(INDEX(Inventario!$B$5:$B$200,MATCH(B97,Inventario!$A$5:$A$200,0)),"SKU no existe"))</f>
        <v/>
      </c>
      <c r="D97" s="28" t="n"/>
      <c r="E97" s="33">
        <f>IF(B97="","",IFERROR(INDEX(Inventario!$D$5:$D$200,MATCH(B97,Inventario!$A$5:$A$200,0)),0))</f>
        <v/>
      </c>
      <c r="F97" s="33">
        <f>IF(OR(B97="",D97=""),"",D97*E97)</f>
        <v/>
      </c>
      <c r="G97" s="32">
        <f>IF(A97="","",IFERROR(INDEX(Pedidos!$L$5:$L$300,MATCH(A97,Pedidos!$A$5:$A$300,0)),"Pedido no existe"))</f>
        <v/>
      </c>
    </row>
    <row r="98" ht="15" customHeight="1" s="19">
      <c r="A98" s="28" t="n"/>
      <c r="B98" s="28" t="n"/>
      <c r="C98" s="32">
        <f>IF(B98="","",IFERROR(INDEX(Inventario!$B$5:$B$200,MATCH(B98,Inventario!$A$5:$A$200,0)),"SKU no existe"))</f>
        <v/>
      </c>
      <c r="D98" s="28" t="n"/>
      <c r="E98" s="33">
        <f>IF(B98="","",IFERROR(INDEX(Inventario!$D$5:$D$200,MATCH(B98,Inventario!$A$5:$A$200,0)),0))</f>
        <v/>
      </c>
      <c r="F98" s="33">
        <f>IF(OR(B98="",D98=""),"",D98*E98)</f>
        <v/>
      </c>
      <c r="G98" s="32">
        <f>IF(A98="","",IFERROR(INDEX(Pedidos!$L$5:$L$300,MATCH(A98,Pedidos!$A$5:$A$300,0)),"Pedido no existe"))</f>
        <v/>
      </c>
    </row>
    <row r="99" ht="15" customHeight="1" s="19">
      <c r="A99" s="28" t="n"/>
      <c r="B99" s="28" t="n"/>
      <c r="C99" s="32">
        <f>IF(B99="","",IFERROR(INDEX(Inventario!$B$5:$B$200,MATCH(B99,Inventario!$A$5:$A$200,0)),"SKU no existe"))</f>
        <v/>
      </c>
      <c r="D99" s="28" t="n"/>
      <c r="E99" s="33">
        <f>IF(B99="","",IFERROR(INDEX(Inventario!$D$5:$D$200,MATCH(B99,Inventario!$A$5:$A$200,0)),0))</f>
        <v/>
      </c>
      <c r="F99" s="33">
        <f>IF(OR(B99="",D99=""),"",D99*E99)</f>
        <v/>
      </c>
      <c r="G99" s="32">
        <f>IF(A99="","",IFERROR(INDEX(Pedidos!$L$5:$L$300,MATCH(A99,Pedidos!$A$5:$A$300,0)),"Pedido no existe"))</f>
        <v/>
      </c>
    </row>
    <row r="100" ht="15" customHeight="1" s="19">
      <c r="A100" s="28" t="n"/>
      <c r="B100" s="28" t="n"/>
      <c r="C100" s="32">
        <f>IF(B100="","",IFERROR(INDEX(Inventario!$B$5:$B$200,MATCH(B100,Inventario!$A$5:$A$200,0)),"SKU no existe"))</f>
        <v/>
      </c>
      <c r="D100" s="28" t="n"/>
      <c r="E100" s="33">
        <f>IF(B100="","",IFERROR(INDEX(Inventario!$D$5:$D$200,MATCH(B100,Inventario!$A$5:$A$200,0)),0))</f>
        <v/>
      </c>
      <c r="F100" s="33">
        <f>IF(OR(B100="",D100=""),"",D100*E100)</f>
        <v/>
      </c>
      <c r="G100" s="32">
        <f>IF(A100="","",IFERROR(INDEX(Pedidos!$L$5:$L$300,MATCH(A100,Pedidos!$A$5:$A$300,0)),"Pedido no existe"))</f>
        <v/>
      </c>
    </row>
    <row r="101" ht="15" customHeight="1" s="19">
      <c r="A101" s="28" t="n"/>
      <c r="B101" s="28" t="n"/>
      <c r="C101" s="32">
        <f>IF(B101="","",IFERROR(INDEX(Inventario!$B$5:$B$200,MATCH(B101,Inventario!$A$5:$A$200,0)),"SKU no existe"))</f>
        <v/>
      </c>
      <c r="D101" s="28" t="n"/>
      <c r="E101" s="33">
        <f>IF(B101="","",IFERROR(INDEX(Inventario!$D$5:$D$200,MATCH(B101,Inventario!$A$5:$A$200,0)),0))</f>
        <v/>
      </c>
      <c r="F101" s="33">
        <f>IF(OR(B101="",D101=""),"",D101*E101)</f>
        <v/>
      </c>
      <c r="G101" s="32">
        <f>IF(A101="","",IFERROR(INDEX(Pedidos!$L$5:$L$300,MATCH(A101,Pedidos!$A$5:$A$300,0)),"Pedido no existe"))</f>
        <v/>
      </c>
    </row>
    <row r="102" ht="15" customHeight="1" s="19">
      <c r="A102" s="28" t="n"/>
      <c r="B102" s="28" t="n"/>
      <c r="C102" s="32">
        <f>IF(B102="","",IFERROR(INDEX(Inventario!$B$5:$B$200,MATCH(B102,Inventario!$A$5:$A$200,0)),"SKU no existe"))</f>
        <v/>
      </c>
      <c r="D102" s="28" t="n"/>
      <c r="E102" s="33">
        <f>IF(B102="","",IFERROR(INDEX(Inventario!$D$5:$D$200,MATCH(B102,Inventario!$A$5:$A$200,0)),0))</f>
        <v/>
      </c>
      <c r="F102" s="33">
        <f>IF(OR(B102="",D102=""),"",D102*E102)</f>
        <v/>
      </c>
      <c r="G102" s="32">
        <f>IF(A102="","",IFERROR(INDEX(Pedidos!$L$5:$L$300,MATCH(A102,Pedidos!$A$5:$A$300,0)),"Pedido no existe"))</f>
        <v/>
      </c>
    </row>
    <row r="103" ht="15" customHeight="1" s="19">
      <c r="A103" s="28" t="n"/>
      <c r="B103" s="28" t="n"/>
      <c r="C103" s="32">
        <f>IF(B103="","",IFERROR(INDEX(Inventario!$B$5:$B$200,MATCH(B103,Inventario!$A$5:$A$200,0)),"SKU no existe"))</f>
        <v/>
      </c>
      <c r="D103" s="28" t="n"/>
      <c r="E103" s="33">
        <f>IF(B103="","",IFERROR(INDEX(Inventario!$D$5:$D$200,MATCH(B103,Inventario!$A$5:$A$200,0)),0))</f>
        <v/>
      </c>
      <c r="F103" s="33">
        <f>IF(OR(B103="",D103=""),"",D103*E103)</f>
        <v/>
      </c>
      <c r="G103" s="32">
        <f>IF(A103="","",IFERROR(INDEX(Pedidos!$L$5:$L$300,MATCH(A103,Pedidos!$A$5:$A$300,0)),"Pedido no existe"))</f>
        <v/>
      </c>
    </row>
    <row r="104" ht="15" customHeight="1" s="19">
      <c r="A104" s="28" t="n"/>
      <c r="B104" s="28" t="n"/>
      <c r="C104" s="32">
        <f>IF(B104="","",IFERROR(INDEX(Inventario!$B$5:$B$200,MATCH(B104,Inventario!$A$5:$A$200,0)),"SKU no existe"))</f>
        <v/>
      </c>
      <c r="D104" s="28" t="n"/>
      <c r="E104" s="33">
        <f>IF(B104="","",IFERROR(INDEX(Inventario!$D$5:$D$200,MATCH(B104,Inventario!$A$5:$A$200,0)),0))</f>
        <v/>
      </c>
      <c r="F104" s="33">
        <f>IF(OR(B104="",D104=""),"",D104*E104)</f>
        <v/>
      </c>
      <c r="G104" s="32">
        <f>IF(A104="","",IFERROR(INDEX(Pedidos!$L$5:$L$300,MATCH(A104,Pedidos!$A$5:$A$300,0)),"Pedido no existe"))</f>
        <v/>
      </c>
    </row>
    <row r="105" ht="15" customHeight="1" s="19">
      <c r="A105" s="28" t="n"/>
      <c r="B105" s="28" t="n"/>
      <c r="C105" s="32">
        <f>IF(B105="","",IFERROR(INDEX(Inventario!$B$5:$B$200,MATCH(B105,Inventario!$A$5:$A$200,0)),"SKU no existe"))</f>
        <v/>
      </c>
      <c r="D105" s="28" t="n"/>
      <c r="E105" s="33">
        <f>IF(B105="","",IFERROR(INDEX(Inventario!$D$5:$D$200,MATCH(B105,Inventario!$A$5:$A$200,0)),0))</f>
        <v/>
      </c>
      <c r="F105" s="33">
        <f>IF(OR(B105="",D105=""),"",D105*E105)</f>
        <v/>
      </c>
      <c r="G105" s="32">
        <f>IF(A105="","",IFERROR(INDEX(Pedidos!$L$5:$L$300,MATCH(A105,Pedidos!$A$5:$A$300,0)),"Pedido no existe"))</f>
        <v/>
      </c>
    </row>
    <row r="106" ht="15" customHeight="1" s="19">
      <c r="A106" s="28" t="n"/>
      <c r="B106" s="28" t="n"/>
      <c r="C106" s="32">
        <f>IF(B106="","",IFERROR(INDEX(Inventario!$B$5:$B$200,MATCH(B106,Inventario!$A$5:$A$200,0)),"SKU no existe"))</f>
        <v/>
      </c>
      <c r="D106" s="28" t="n"/>
      <c r="E106" s="33">
        <f>IF(B106="","",IFERROR(INDEX(Inventario!$D$5:$D$200,MATCH(B106,Inventario!$A$5:$A$200,0)),0))</f>
        <v/>
      </c>
      <c r="F106" s="33">
        <f>IF(OR(B106="",D106=""),"",D106*E106)</f>
        <v/>
      </c>
      <c r="G106" s="32">
        <f>IF(A106="","",IFERROR(INDEX(Pedidos!$L$5:$L$300,MATCH(A106,Pedidos!$A$5:$A$300,0)),"Pedido no existe"))</f>
        <v/>
      </c>
    </row>
    <row r="107" ht="15" customHeight="1" s="19">
      <c r="A107" s="28" t="n"/>
      <c r="B107" s="28" t="n"/>
      <c r="C107" s="32">
        <f>IF(B107="","",IFERROR(INDEX(Inventario!$B$5:$B$200,MATCH(B107,Inventario!$A$5:$A$200,0)),"SKU no existe"))</f>
        <v/>
      </c>
      <c r="D107" s="28" t="n"/>
      <c r="E107" s="33">
        <f>IF(B107="","",IFERROR(INDEX(Inventario!$D$5:$D$200,MATCH(B107,Inventario!$A$5:$A$200,0)),0))</f>
        <v/>
      </c>
      <c r="F107" s="33">
        <f>IF(OR(B107="",D107=""),"",D107*E107)</f>
        <v/>
      </c>
      <c r="G107" s="32">
        <f>IF(A107="","",IFERROR(INDEX(Pedidos!$L$5:$L$300,MATCH(A107,Pedidos!$A$5:$A$300,0)),"Pedido no existe"))</f>
        <v/>
      </c>
    </row>
    <row r="108" ht="15" customHeight="1" s="19">
      <c r="A108" s="28" t="n"/>
      <c r="B108" s="28" t="n"/>
      <c r="C108" s="32">
        <f>IF(B108="","",IFERROR(INDEX(Inventario!$B$5:$B$200,MATCH(B108,Inventario!$A$5:$A$200,0)),"SKU no existe"))</f>
        <v/>
      </c>
      <c r="D108" s="28" t="n"/>
      <c r="E108" s="33">
        <f>IF(B108="","",IFERROR(INDEX(Inventario!$D$5:$D$200,MATCH(B108,Inventario!$A$5:$A$200,0)),0))</f>
        <v/>
      </c>
      <c r="F108" s="33">
        <f>IF(OR(B108="",D108=""),"",D108*E108)</f>
        <v/>
      </c>
      <c r="G108" s="32">
        <f>IF(A108="","",IFERROR(INDEX(Pedidos!$L$5:$L$300,MATCH(A108,Pedidos!$A$5:$A$300,0)),"Pedido no existe"))</f>
        <v/>
      </c>
    </row>
    <row r="109" ht="15" customHeight="1" s="19">
      <c r="A109" s="28" t="n"/>
      <c r="B109" s="28" t="n"/>
      <c r="C109" s="32">
        <f>IF(B109="","",IFERROR(INDEX(Inventario!$B$5:$B$200,MATCH(B109,Inventario!$A$5:$A$200,0)),"SKU no existe"))</f>
        <v/>
      </c>
      <c r="D109" s="28" t="n"/>
      <c r="E109" s="33">
        <f>IF(B109="","",IFERROR(INDEX(Inventario!$D$5:$D$200,MATCH(B109,Inventario!$A$5:$A$200,0)),0))</f>
        <v/>
      </c>
      <c r="F109" s="33">
        <f>IF(OR(B109="",D109=""),"",D109*E109)</f>
        <v/>
      </c>
      <c r="G109" s="32">
        <f>IF(A109="","",IFERROR(INDEX(Pedidos!$L$5:$L$300,MATCH(A109,Pedidos!$A$5:$A$300,0)),"Pedido no existe"))</f>
        <v/>
      </c>
    </row>
    <row r="110" ht="15" customHeight="1" s="19">
      <c r="A110" s="28" t="n"/>
      <c r="B110" s="28" t="n"/>
      <c r="C110" s="32">
        <f>IF(B110="","",IFERROR(INDEX(Inventario!$B$5:$B$200,MATCH(B110,Inventario!$A$5:$A$200,0)),"SKU no existe"))</f>
        <v/>
      </c>
      <c r="D110" s="28" t="n"/>
      <c r="E110" s="33">
        <f>IF(B110="","",IFERROR(INDEX(Inventario!$D$5:$D$200,MATCH(B110,Inventario!$A$5:$A$200,0)),0))</f>
        <v/>
      </c>
      <c r="F110" s="33">
        <f>IF(OR(B110="",D110=""),"",D110*E110)</f>
        <v/>
      </c>
      <c r="G110" s="32">
        <f>IF(A110="","",IFERROR(INDEX(Pedidos!$L$5:$L$300,MATCH(A110,Pedidos!$A$5:$A$300,0)),"Pedido no existe"))</f>
        <v/>
      </c>
    </row>
    <row r="111" ht="15" customHeight="1" s="19">
      <c r="A111" s="28" t="n"/>
      <c r="B111" s="28" t="n"/>
      <c r="C111" s="32">
        <f>IF(B111="","",IFERROR(INDEX(Inventario!$B$5:$B$200,MATCH(B111,Inventario!$A$5:$A$200,0)),"SKU no existe"))</f>
        <v/>
      </c>
      <c r="D111" s="28" t="n"/>
      <c r="E111" s="33">
        <f>IF(B111="","",IFERROR(INDEX(Inventario!$D$5:$D$200,MATCH(B111,Inventario!$A$5:$A$200,0)),0))</f>
        <v/>
      </c>
      <c r="F111" s="33">
        <f>IF(OR(B111="",D111=""),"",D111*E111)</f>
        <v/>
      </c>
      <c r="G111" s="32">
        <f>IF(A111="","",IFERROR(INDEX(Pedidos!$L$5:$L$300,MATCH(A111,Pedidos!$A$5:$A$300,0)),"Pedido no existe"))</f>
        <v/>
      </c>
    </row>
    <row r="112" ht="15" customHeight="1" s="19">
      <c r="A112" s="28" t="n"/>
      <c r="B112" s="28" t="n"/>
      <c r="C112" s="32">
        <f>IF(B112="","",IFERROR(INDEX(Inventario!$B$5:$B$200,MATCH(B112,Inventario!$A$5:$A$200,0)),"SKU no existe"))</f>
        <v/>
      </c>
      <c r="D112" s="28" t="n"/>
      <c r="E112" s="33">
        <f>IF(B112="","",IFERROR(INDEX(Inventario!$D$5:$D$200,MATCH(B112,Inventario!$A$5:$A$200,0)),0))</f>
        <v/>
      </c>
      <c r="F112" s="33">
        <f>IF(OR(B112="",D112=""),"",D112*E112)</f>
        <v/>
      </c>
      <c r="G112" s="32">
        <f>IF(A112="","",IFERROR(INDEX(Pedidos!$L$5:$L$300,MATCH(A112,Pedidos!$A$5:$A$300,0)),"Pedido no existe"))</f>
        <v/>
      </c>
    </row>
    <row r="113" ht="15" customHeight="1" s="19">
      <c r="A113" s="28" t="n"/>
      <c r="B113" s="28" t="n"/>
      <c r="C113" s="32">
        <f>IF(B113="","",IFERROR(INDEX(Inventario!$B$5:$B$200,MATCH(B113,Inventario!$A$5:$A$200,0)),"SKU no existe"))</f>
        <v/>
      </c>
      <c r="D113" s="28" t="n"/>
      <c r="E113" s="33">
        <f>IF(B113="","",IFERROR(INDEX(Inventario!$D$5:$D$200,MATCH(B113,Inventario!$A$5:$A$200,0)),0))</f>
        <v/>
      </c>
      <c r="F113" s="33">
        <f>IF(OR(B113="",D113=""),"",D113*E113)</f>
        <v/>
      </c>
      <c r="G113" s="32">
        <f>IF(A113="","",IFERROR(INDEX(Pedidos!$L$5:$L$300,MATCH(A113,Pedidos!$A$5:$A$300,0)),"Pedido no existe"))</f>
        <v/>
      </c>
    </row>
    <row r="114" ht="15" customHeight="1" s="19">
      <c r="A114" s="28" t="n"/>
      <c r="B114" s="28" t="n"/>
      <c r="C114" s="32">
        <f>IF(B114="","",IFERROR(INDEX(Inventario!$B$5:$B$200,MATCH(B114,Inventario!$A$5:$A$200,0)),"SKU no existe"))</f>
        <v/>
      </c>
      <c r="D114" s="28" t="n"/>
      <c r="E114" s="33">
        <f>IF(B114="","",IFERROR(INDEX(Inventario!$D$5:$D$200,MATCH(B114,Inventario!$A$5:$A$200,0)),0))</f>
        <v/>
      </c>
      <c r="F114" s="33">
        <f>IF(OR(B114="",D114=""),"",D114*E114)</f>
        <v/>
      </c>
      <c r="G114" s="32">
        <f>IF(A114="","",IFERROR(INDEX(Pedidos!$L$5:$L$300,MATCH(A114,Pedidos!$A$5:$A$300,0)),"Pedido no existe"))</f>
        <v/>
      </c>
    </row>
    <row r="115" ht="15" customHeight="1" s="19">
      <c r="A115" s="28" t="n"/>
      <c r="B115" s="28" t="n"/>
      <c r="C115" s="32">
        <f>IF(B115="","",IFERROR(INDEX(Inventario!$B$5:$B$200,MATCH(B115,Inventario!$A$5:$A$200,0)),"SKU no existe"))</f>
        <v/>
      </c>
      <c r="D115" s="28" t="n"/>
      <c r="E115" s="33">
        <f>IF(B115="","",IFERROR(INDEX(Inventario!$D$5:$D$200,MATCH(B115,Inventario!$A$5:$A$200,0)),0))</f>
        <v/>
      </c>
      <c r="F115" s="33">
        <f>IF(OR(B115="",D115=""),"",D115*E115)</f>
        <v/>
      </c>
      <c r="G115" s="32">
        <f>IF(A115="","",IFERROR(INDEX(Pedidos!$L$5:$L$300,MATCH(A115,Pedidos!$A$5:$A$300,0)),"Pedido no existe"))</f>
        <v/>
      </c>
    </row>
    <row r="116" ht="15" customHeight="1" s="19">
      <c r="A116" s="28" t="n"/>
      <c r="B116" s="28" t="n"/>
      <c r="C116" s="32">
        <f>IF(B116="","",IFERROR(INDEX(Inventario!$B$5:$B$200,MATCH(B116,Inventario!$A$5:$A$200,0)),"SKU no existe"))</f>
        <v/>
      </c>
      <c r="D116" s="28" t="n"/>
      <c r="E116" s="33">
        <f>IF(B116="","",IFERROR(INDEX(Inventario!$D$5:$D$200,MATCH(B116,Inventario!$A$5:$A$200,0)),0))</f>
        <v/>
      </c>
      <c r="F116" s="33">
        <f>IF(OR(B116="",D116=""),"",D116*E116)</f>
        <v/>
      </c>
      <c r="G116" s="32">
        <f>IF(A116="","",IFERROR(INDEX(Pedidos!$L$5:$L$300,MATCH(A116,Pedidos!$A$5:$A$300,0)),"Pedido no existe"))</f>
        <v/>
      </c>
    </row>
    <row r="117" ht="15" customHeight="1" s="19">
      <c r="A117" s="28" t="n"/>
      <c r="B117" s="28" t="n"/>
      <c r="C117" s="32">
        <f>IF(B117="","",IFERROR(INDEX(Inventario!$B$5:$B$200,MATCH(B117,Inventario!$A$5:$A$200,0)),"SKU no existe"))</f>
        <v/>
      </c>
      <c r="D117" s="28" t="n"/>
      <c r="E117" s="33">
        <f>IF(B117="","",IFERROR(INDEX(Inventario!$D$5:$D$200,MATCH(B117,Inventario!$A$5:$A$200,0)),0))</f>
        <v/>
      </c>
      <c r="F117" s="33">
        <f>IF(OR(B117="",D117=""),"",D117*E117)</f>
        <v/>
      </c>
      <c r="G117" s="32">
        <f>IF(A117="","",IFERROR(INDEX(Pedidos!$L$5:$L$300,MATCH(A117,Pedidos!$A$5:$A$300,0)),"Pedido no existe"))</f>
        <v/>
      </c>
    </row>
    <row r="118" ht="15" customHeight="1" s="19">
      <c r="A118" s="28" t="n"/>
      <c r="B118" s="28" t="n"/>
      <c r="C118" s="32">
        <f>IF(B118="","",IFERROR(INDEX(Inventario!$B$5:$B$200,MATCH(B118,Inventario!$A$5:$A$200,0)),"SKU no existe"))</f>
        <v/>
      </c>
      <c r="D118" s="28" t="n"/>
      <c r="E118" s="33">
        <f>IF(B118="","",IFERROR(INDEX(Inventario!$D$5:$D$200,MATCH(B118,Inventario!$A$5:$A$200,0)),0))</f>
        <v/>
      </c>
      <c r="F118" s="33">
        <f>IF(OR(B118="",D118=""),"",D118*E118)</f>
        <v/>
      </c>
      <c r="G118" s="32">
        <f>IF(A118="","",IFERROR(INDEX(Pedidos!$L$5:$L$300,MATCH(A118,Pedidos!$A$5:$A$300,0)),"Pedido no existe"))</f>
        <v/>
      </c>
    </row>
    <row r="119" ht="15" customHeight="1" s="19">
      <c r="A119" s="28" t="n"/>
      <c r="B119" s="28" t="n"/>
      <c r="C119" s="32">
        <f>IF(B119="","",IFERROR(INDEX(Inventario!$B$5:$B$200,MATCH(B119,Inventario!$A$5:$A$200,0)),"SKU no existe"))</f>
        <v/>
      </c>
      <c r="D119" s="28" t="n"/>
      <c r="E119" s="33">
        <f>IF(B119="","",IFERROR(INDEX(Inventario!$D$5:$D$200,MATCH(B119,Inventario!$A$5:$A$200,0)),0))</f>
        <v/>
      </c>
      <c r="F119" s="33">
        <f>IF(OR(B119="",D119=""),"",D119*E119)</f>
        <v/>
      </c>
      <c r="G119" s="32">
        <f>IF(A119="","",IFERROR(INDEX(Pedidos!$L$5:$L$300,MATCH(A119,Pedidos!$A$5:$A$300,0)),"Pedido no existe"))</f>
        <v/>
      </c>
    </row>
    <row r="120" ht="15" customHeight="1" s="19">
      <c r="A120" s="28" t="n"/>
      <c r="B120" s="28" t="n"/>
      <c r="C120" s="32">
        <f>IF(B120="","",IFERROR(INDEX(Inventario!$B$5:$B$200,MATCH(B120,Inventario!$A$5:$A$200,0)),"SKU no existe"))</f>
        <v/>
      </c>
      <c r="D120" s="28" t="n"/>
      <c r="E120" s="33">
        <f>IF(B120="","",IFERROR(INDEX(Inventario!$D$5:$D$200,MATCH(B120,Inventario!$A$5:$A$200,0)),0))</f>
        <v/>
      </c>
      <c r="F120" s="33">
        <f>IF(OR(B120="",D120=""),"",D120*E120)</f>
        <v/>
      </c>
      <c r="G120" s="32">
        <f>IF(A120="","",IFERROR(INDEX(Pedidos!$L$5:$L$300,MATCH(A120,Pedidos!$A$5:$A$300,0)),"Pedido no existe"))</f>
        <v/>
      </c>
    </row>
    <row r="121" ht="15" customHeight="1" s="19">
      <c r="A121" s="28" t="n"/>
      <c r="B121" s="28" t="n"/>
      <c r="C121" s="32">
        <f>IF(B121="","",IFERROR(INDEX(Inventario!$B$5:$B$200,MATCH(B121,Inventario!$A$5:$A$200,0)),"SKU no existe"))</f>
        <v/>
      </c>
      <c r="D121" s="28" t="n"/>
      <c r="E121" s="33">
        <f>IF(B121="","",IFERROR(INDEX(Inventario!$D$5:$D$200,MATCH(B121,Inventario!$A$5:$A$200,0)),0))</f>
        <v/>
      </c>
      <c r="F121" s="33">
        <f>IF(OR(B121="",D121=""),"",D121*E121)</f>
        <v/>
      </c>
      <c r="G121" s="32">
        <f>IF(A121="","",IFERROR(INDEX(Pedidos!$L$5:$L$300,MATCH(A121,Pedidos!$A$5:$A$300,0)),"Pedido no existe"))</f>
        <v/>
      </c>
    </row>
    <row r="122" ht="15" customHeight="1" s="19">
      <c r="A122" s="28" t="n"/>
      <c r="B122" s="28" t="n"/>
      <c r="C122" s="32">
        <f>IF(B122="","",IFERROR(INDEX(Inventario!$B$5:$B$200,MATCH(B122,Inventario!$A$5:$A$200,0)),"SKU no existe"))</f>
        <v/>
      </c>
      <c r="D122" s="28" t="n"/>
      <c r="E122" s="33">
        <f>IF(B122="","",IFERROR(INDEX(Inventario!$D$5:$D$200,MATCH(B122,Inventario!$A$5:$A$200,0)),0))</f>
        <v/>
      </c>
      <c r="F122" s="33">
        <f>IF(OR(B122="",D122=""),"",D122*E122)</f>
        <v/>
      </c>
      <c r="G122" s="32">
        <f>IF(A122="","",IFERROR(INDEX(Pedidos!$L$5:$L$300,MATCH(A122,Pedidos!$A$5:$A$300,0)),"Pedido no existe"))</f>
        <v/>
      </c>
    </row>
    <row r="123" ht="15" customHeight="1" s="19">
      <c r="A123" s="28" t="n"/>
      <c r="B123" s="28" t="n"/>
      <c r="C123" s="32">
        <f>IF(B123="","",IFERROR(INDEX(Inventario!$B$5:$B$200,MATCH(B123,Inventario!$A$5:$A$200,0)),"SKU no existe"))</f>
        <v/>
      </c>
      <c r="D123" s="28" t="n"/>
      <c r="E123" s="33">
        <f>IF(B123="","",IFERROR(INDEX(Inventario!$D$5:$D$200,MATCH(B123,Inventario!$A$5:$A$200,0)),0))</f>
        <v/>
      </c>
      <c r="F123" s="33">
        <f>IF(OR(B123="",D123=""),"",D123*E123)</f>
        <v/>
      </c>
      <c r="G123" s="32">
        <f>IF(A123="","",IFERROR(INDEX(Pedidos!$L$5:$L$300,MATCH(A123,Pedidos!$A$5:$A$300,0)),"Pedido no existe"))</f>
        <v/>
      </c>
    </row>
    <row r="124" ht="15" customHeight="1" s="19">
      <c r="A124" s="28" t="n"/>
      <c r="B124" s="28" t="n"/>
      <c r="C124" s="32">
        <f>IF(B124="","",IFERROR(INDEX(Inventario!$B$5:$B$200,MATCH(B124,Inventario!$A$5:$A$200,0)),"SKU no existe"))</f>
        <v/>
      </c>
      <c r="D124" s="28" t="n"/>
      <c r="E124" s="33">
        <f>IF(B124="","",IFERROR(INDEX(Inventario!$D$5:$D$200,MATCH(B124,Inventario!$A$5:$A$200,0)),0))</f>
        <v/>
      </c>
      <c r="F124" s="33">
        <f>IF(OR(B124="",D124=""),"",D124*E124)</f>
        <v/>
      </c>
      <c r="G124" s="32">
        <f>IF(A124="","",IFERROR(INDEX(Pedidos!$L$5:$L$300,MATCH(A124,Pedidos!$A$5:$A$300,0)),"Pedido no existe"))</f>
        <v/>
      </c>
    </row>
    <row r="125" ht="15" customHeight="1" s="19">
      <c r="A125" s="28" t="n"/>
      <c r="B125" s="28" t="n"/>
      <c r="C125" s="32">
        <f>IF(B125="","",IFERROR(INDEX(Inventario!$B$5:$B$200,MATCH(B125,Inventario!$A$5:$A$200,0)),"SKU no existe"))</f>
        <v/>
      </c>
      <c r="D125" s="28" t="n"/>
      <c r="E125" s="33">
        <f>IF(B125="","",IFERROR(INDEX(Inventario!$D$5:$D$200,MATCH(B125,Inventario!$A$5:$A$200,0)),0))</f>
        <v/>
      </c>
      <c r="F125" s="33">
        <f>IF(OR(B125="",D125=""),"",D125*E125)</f>
        <v/>
      </c>
      <c r="G125" s="32">
        <f>IF(A125="","",IFERROR(INDEX(Pedidos!$L$5:$L$300,MATCH(A125,Pedidos!$A$5:$A$300,0)),"Pedido no existe"))</f>
        <v/>
      </c>
    </row>
    <row r="126" ht="15" customHeight="1" s="19">
      <c r="A126" s="28" t="n"/>
      <c r="B126" s="28" t="n"/>
      <c r="C126" s="32">
        <f>IF(B126="","",IFERROR(INDEX(Inventario!$B$5:$B$200,MATCH(B126,Inventario!$A$5:$A$200,0)),"SKU no existe"))</f>
        <v/>
      </c>
      <c r="D126" s="28" t="n"/>
      <c r="E126" s="33">
        <f>IF(B126="","",IFERROR(INDEX(Inventario!$D$5:$D$200,MATCH(B126,Inventario!$A$5:$A$200,0)),0))</f>
        <v/>
      </c>
      <c r="F126" s="33">
        <f>IF(OR(B126="",D126=""),"",D126*E126)</f>
        <v/>
      </c>
      <c r="G126" s="32">
        <f>IF(A126="","",IFERROR(INDEX(Pedidos!$L$5:$L$300,MATCH(A126,Pedidos!$A$5:$A$300,0)),"Pedido no existe"))</f>
        <v/>
      </c>
    </row>
    <row r="127" ht="15" customHeight="1" s="19">
      <c r="A127" s="28" t="n"/>
      <c r="B127" s="28" t="n"/>
      <c r="C127" s="32">
        <f>IF(B127="","",IFERROR(INDEX(Inventario!$B$5:$B$200,MATCH(B127,Inventario!$A$5:$A$200,0)),"SKU no existe"))</f>
        <v/>
      </c>
      <c r="D127" s="28" t="n"/>
      <c r="E127" s="33">
        <f>IF(B127="","",IFERROR(INDEX(Inventario!$D$5:$D$200,MATCH(B127,Inventario!$A$5:$A$200,0)),0))</f>
        <v/>
      </c>
      <c r="F127" s="33">
        <f>IF(OR(B127="",D127=""),"",D127*E127)</f>
        <v/>
      </c>
      <c r="G127" s="32">
        <f>IF(A127="","",IFERROR(INDEX(Pedidos!$L$5:$L$300,MATCH(A127,Pedidos!$A$5:$A$300,0)),"Pedido no existe"))</f>
        <v/>
      </c>
    </row>
    <row r="128" ht="15" customHeight="1" s="19">
      <c r="A128" s="28" t="n"/>
      <c r="B128" s="28" t="n"/>
      <c r="C128" s="32">
        <f>IF(B128="","",IFERROR(INDEX(Inventario!$B$5:$B$200,MATCH(B128,Inventario!$A$5:$A$200,0)),"SKU no existe"))</f>
        <v/>
      </c>
      <c r="D128" s="28" t="n"/>
      <c r="E128" s="33">
        <f>IF(B128="","",IFERROR(INDEX(Inventario!$D$5:$D$200,MATCH(B128,Inventario!$A$5:$A$200,0)),0))</f>
        <v/>
      </c>
      <c r="F128" s="33">
        <f>IF(OR(B128="",D128=""),"",D128*E128)</f>
        <v/>
      </c>
      <c r="G128" s="32">
        <f>IF(A128="","",IFERROR(INDEX(Pedidos!$L$5:$L$300,MATCH(A128,Pedidos!$A$5:$A$300,0)),"Pedido no existe"))</f>
        <v/>
      </c>
    </row>
    <row r="129" ht="15" customHeight="1" s="19">
      <c r="A129" s="28" t="n"/>
      <c r="B129" s="28" t="n"/>
      <c r="C129" s="32">
        <f>IF(B129="","",IFERROR(INDEX(Inventario!$B$5:$B$200,MATCH(B129,Inventario!$A$5:$A$200,0)),"SKU no existe"))</f>
        <v/>
      </c>
      <c r="D129" s="28" t="n"/>
      <c r="E129" s="33">
        <f>IF(B129="","",IFERROR(INDEX(Inventario!$D$5:$D$200,MATCH(B129,Inventario!$A$5:$A$200,0)),0))</f>
        <v/>
      </c>
      <c r="F129" s="33">
        <f>IF(OR(B129="",D129=""),"",D129*E129)</f>
        <v/>
      </c>
      <c r="G129" s="32">
        <f>IF(A129="","",IFERROR(INDEX(Pedidos!$L$5:$L$300,MATCH(A129,Pedidos!$A$5:$A$300,0)),"Pedido no existe"))</f>
        <v/>
      </c>
    </row>
    <row r="130" ht="15" customHeight="1" s="19">
      <c r="A130" s="28" t="n"/>
      <c r="B130" s="28" t="n"/>
      <c r="C130" s="32">
        <f>IF(B130="","",IFERROR(INDEX(Inventario!$B$5:$B$200,MATCH(B130,Inventario!$A$5:$A$200,0)),"SKU no existe"))</f>
        <v/>
      </c>
      <c r="D130" s="28" t="n"/>
      <c r="E130" s="33">
        <f>IF(B130="","",IFERROR(INDEX(Inventario!$D$5:$D$200,MATCH(B130,Inventario!$A$5:$A$200,0)),0))</f>
        <v/>
      </c>
      <c r="F130" s="33">
        <f>IF(OR(B130="",D130=""),"",D130*E130)</f>
        <v/>
      </c>
      <c r="G130" s="32">
        <f>IF(A130="","",IFERROR(INDEX(Pedidos!$L$5:$L$300,MATCH(A130,Pedidos!$A$5:$A$300,0)),"Pedido no existe"))</f>
        <v/>
      </c>
    </row>
    <row r="131" ht="15" customHeight="1" s="19">
      <c r="A131" s="28" t="n"/>
      <c r="B131" s="28" t="n"/>
      <c r="C131" s="32">
        <f>IF(B131="","",IFERROR(INDEX(Inventario!$B$5:$B$200,MATCH(B131,Inventario!$A$5:$A$200,0)),"SKU no existe"))</f>
        <v/>
      </c>
      <c r="D131" s="28" t="n"/>
      <c r="E131" s="33">
        <f>IF(B131="","",IFERROR(INDEX(Inventario!$D$5:$D$200,MATCH(B131,Inventario!$A$5:$A$200,0)),0))</f>
        <v/>
      </c>
      <c r="F131" s="33">
        <f>IF(OR(B131="",D131=""),"",D131*E131)</f>
        <v/>
      </c>
      <c r="G131" s="32">
        <f>IF(A131="","",IFERROR(INDEX(Pedidos!$L$5:$L$300,MATCH(A131,Pedidos!$A$5:$A$300,0)),"Pedido no existe"))</f>
        <v/>
      </c>
    </row>
    <row r="132" ht="15" customHeight="1" s="19">
      <c r="A132" s="28" t="n"/>
      <c r="B132" s="28" t="n"/>
      <c r="C132" s="32">
        <f>IF(B132="","",IFERROR(INDEX(Inventario!$B$5:$B$200,MATCH(B132,Inventario!$A$5:$A$200,0)),"SKU no existe"))</f>
        <v/>
      </c>
      <c r="D132" s="28" t="n"/>
      <c r="E132" s="33">
        <f>IF(B132="","",IFERROR(INDEX(Inventario!$D$5:$D$200,MATCH(B132,Inventario!$A$5:$A$200,0)),0))</f>
        <v/>
      </c>
      <c r="F132" s="33">
        <f>IF(OR(B132="",D132=""),"",D132*E132)</f>
        <v/>
      </c>
      <c r="G132" s="32">
        <f>IF(A132="","",IFERROR(INDEX(Pedidos!$L$5:$L$300,MATCH(A132,Pedidos!$A$5:$A$300,0)),"Pedido no existe"))</f>
        <v/>
      </c>
    </row>
    <row r="133" ht="15" customHeight="1" s="19">
      <c r="A133" s="28" t="n"/>
      <c r="B133" s="28" t="n"/>
      <c r="C133" s="32">
        <f>IF(B133="","",IFERROR(INDEX(Inventario!$B$5:$B$200,MATCH(B133,Inventario!$A$5:$A$200,0)),"SKU no existe"))</f>
        <v/>
      </c>
      <c r="D133" s="28" t="n"/>
      <c r="E133" s="33">
        <f>IF(B133="","",IFERROR(INDEX(Inventario!$D$5:$D$200,MATCH(B133,Inventario!$A$5:$A$200,0)),0))</f>
        <v/>
      </c>
      <c r="F133" s="33">
        <f>IF(OR(B133="",D133=""),"",D133*E133)</f>
        <v/>
      </c>
      <c r="G133" s="32">
        <f>IF(A133="","",IFERROR(INDEX(Pedidos!$L$5:$L$300,MATCH(A133,Pedidos!$A$5:$A$300,0)),"Pedido no existe"))</f>
        <v/>
      </c>
    </row>
    <row r="134" ht="15" customHeight="1" s="19">
      <c r="A134" s="28" t="n"/>
      <c r="B134" s="28" t="n"/>
      <c r="C134" s="32">
        <f>IF(B134="","",IFERROR(INDEX(Inventario!$B$5:$B$200,MATCH(B134,Inventario!$A$5:$A$200,0)),"SKU no existe"))</f>
        <v/>
      </c>
      <c r="D134" s="28" t="n"/>
      <c r="E134" s="33">
        <f>IF(B134="","",IFERROR(INDEX(Inventario!$D$5:$D$200,MATCH(B134,Inventario!$A$5:$A$200,0)),0))</f>
        <v/>
      </c>
      <c r="F134" s="33">
        <f>IF(OR(B134="",D134=""),"",D134*E134)</f>
        <v/>
      </c>
      <c r="G134" s="32">
        <f>IF(A134="","",IFERROR(INDEX(Pedidos!$L$5:$L$300,MATCH(A134,Pedidos!$A$5:$A$300,0)),"Pedido no existe"))</f>
        <v/>
      </c>
    </row>
    <row r="135" ht="15" customHeight="1" s="19">
      <c r="A135" s="28" t="n"/>
      <c r="B135" s="28" t="n"/>
      <c r="C135" s="32">
        <f>IF(B135="","",IFERROR(INDEX(Inventario!$B$5:$B$200,MATCH(B135,Inventario!$A$5:$A$200,0)),"SKU no existe"))</f>
        <v/>
      </c>
      <c r="D135" s="28" t="n"/>
      <c r="E135" s="33">
        <f>IF(B135="","",IFERROR(INDEX(Inventario!$D$5:$D$200,MATCH(B135,Inventario!$A$5:$A$200,0)),0))</f>
        <v/>
      </c>
      <c r="F135" s="33">
        <f>IF(OR(B135="",D135=""),"",D135*E135)</f>
        <v/>
      </c>
      <c r="G135" s="32">
        <f>IF(A135="","",IFERROR(INDEX(Pedidos!$L$5:$L$300,MATCH(A135,Pedidos!$A$5:$A$300,0)),"Pedido no existe"))</f>
        <v/>
      </c>
    </row>
    <row r="136" ht="15" customHeight="1" s="19">
      <c r="A136" s="28" t="n"/>
      <c r="B136" s="28" t="n"/>
      <c r="C136" s="32">
        <f>IF(B136="","",IFERROR(INDEX(Inventario!$B$5:$B$200,MATCH(B136,Inventario!$A$5:$A$200,0)),"SKU no existe"))</f>
        <v/>
      </c>
      <c r="D136" s="28" t="n"/>
      <c r="E136" s="33">
        <f>IF(B136="","",IFERROR(INDEX(Inventario!$D$5:$D$200,MATCH(B136,Inventario!$A$5:$A$200,0)),0))</f>
        <v/>
      </c>
      <c r="F136" s="33">
        <f>IF(OR(B136="",D136=""),"",D136*E136)</f>
        <v/>
      </c>
      <c r="G136" s="32">
        <f>IF(A136="","",IFERROR(INDEX(Pedidos!$L$5:$L$300,MATCH(A136,Pedidos!$A$5:$A$300,0)),"Pedido no existe"))</f>
        <v/>
      </c>
    </row>
    <row r="137" ht="15" customHeight="1" s="19">
      <c r="A137" s="28" t="n"/>
      <c r="B137" s="28" t="n"/>
      <c r="C137" s="32">
        <f>IF(B137="","",IFERROR(INDEX(Inventario!$B$5:$B$200,MATCH(B137,Inventario!$A$5:$A$200,0)),"SKU no existe"))</f>
        <v/>
      </c>
      <c r="D137" s="28" t="n"/>
      <c r="E137" s="33">
        <f>IF(B137="","",IFERROR(INDEX(Inventario!$D$5:$D$200,MATCH(B137,Inventario!$A$5:$A$200,0)),0))</f>
        <v/>
      </c>
      <c r="F137" s="33">
        <f>IF(OR(B137="",D137=""),"",D137*E137)</f>
        <v/>
      </c>
      <c r="G137" s="32">
        <f>IF(A137="","",IFERROR(INDEX(Pedidos!$L$5:$L$300,MATCH(A137,Pedidos!$A$5:$A$300,0)),"Pedido no existe"))</f>
        <v/>
      </c>
    </row>
    <row r="138" ht="15" customHeight="1" s="19">
      <c r="A138" s="28" t="n"/>
      <c r="B138" s="28" t="n"/>
      <c r="C138" s="32">
        <f>IF(B138="","",IFERROR(INDEX(Inventario!$B$5:$B$200,MATCH(B138,Inventario!$A$5:$A$200,0)),"SKU no existe"))</f>
        <v/>
      </c>
      <c r="D138" s="28" t="n"/>
      <c r="E138" s="33">
        <f>IF(B138="","",IFERROR(INDEX(Inventario!$D$5:$D$200,MATCH(B138,Inventario!$A$5:$A$200,0)),0))</f>
        <v/>
      </c>
      <c r="F138" s="33">
        <f>IF(OR(B138="",D138=""),"",D138*E138)</f>
        <v/>
      </c>
      <c r="G138" s="32">
        <f>IF(A138="","",IFERROR(INDEX(Pedidos!$L$5:$L$300,MATCH(A138,Pedidos!$A$5:$A$300,0)),"Pedido no existe"))</f>
        <v/>
      </c>
    </row>
    <row r="139" ht="15" customHeight="1" s="19">
      <c r="A139" s="28" t="n"/>
      <c r="B139" s="28" t="n"/>
      <c r="C139" s="32">
        <f>IF(B139="","",IFERROR(INDEX(Inventario!$B$5:$B$200,MATCH(B139,Inventario!$A$5:$A$200,0)),"SKU no existe"))</f>
        <v/>
      </c>
      <c r="D139" s="28" t="n"/>
      <c r="E139" s="33">
        <f>IF(B139="","",IFERROR(INDEX(Inventario!$D$5:$D$200,MATCH(B139,Inventario!$A$5:$A$200,0)),0))</f>
        <v/>
      </c>
      <c r="F139" s="33">
        <f>IF(OR(B139="",D139=""),"",D139*E139)</f>
        <v/>
      </c>
      <c r="G139" s="32">
        <f>IF(A139="","",IFERROR(INDEX(Pedidos!$L$5:$L$300,MATCH(A139,Pedidos!$A$5:$A$300,0)),"Pedido no existe"))</f>
        <v/>
      </c>
    </row>
    <row r="140" ht="15" customHeight="1" s="19">
      <c r="A140" s="28" t="n"/>
      <c r="B140" s="28" t="n"/>
      <c r="C140" s="32">
        <f>IF(B140="","",IFERROR(INDEX(Inventario!$B$5:$B$200,MATCH(B140,Inventario!$A$5:$A$200,0)),"SKU no existe"))</f>
        <v/>
      </c>
      <c r="D140" s="28" t="n"/>
      <c r="E140" s="33">
        <f>IF(B140="","",IFERROR(INDEX(Inventario!$D$5:$D$200,MATCH(B140,Inventario!$A$5:$A$200,0)),0))</f>
        <v/>
      </c>
      <c r="F140" s="33">
        <f>IF(OR(B140="",D140=""),"",D140*E140)</f>
        <v/>
      </c>
      <c r="G140" s="32">
        <f>IF(A140="","",IFERROR(INDEX(Pedidos!$L$5:$L$300,MATCH(A140,Pedidos!$A$5:$A$300,0)),"Pedido no existe"))</f>
        <v/>
      </c>
    </row>
    <row r="141" ht="15" customHeight="1" s="19">
      <c r="A141" s="28" t="n"/>
      <c r="B141" s="28" t="n"/>
      <c r="C141" s="32">
        <f>IF(B141="","",IFERROR(INDEX(Inventario!$B$5:$B$200,MATCH(B141,Inventario!$A$5:$A$200,0)),"SKU no existe"))</f>
        <v/>
      </c>
      <c r="D141" s="28" t="n"/>
      <c r="E141" s="33">
        <f>IF(B141="","",IFERROR(INDEX(Inventario!$D$5:$D$200,MATCH(B141,Inventario!$A$5:$A$200,0)),0))</f>
        <v/>
      </c>
      <c r="F141" s="33">
        <f>IF(OR(B141="",D141=""),"",D141*E141)</f>
        <v/>
      </c>
      <c r="G141" s="32">
        <f>IF(A141="","",IFERROR(INDEX(Pedidos!$L$5:$L$300,MATCH(A141,Pedidos!$A$5:$A$300,0)),"Pedido no existe"))</f>
        <v/>
      </c>
    </row>
    <row r="142" ht="15" customHeight="1" s="19">
      <c r="A142" s="28" t="n"/>
      <c r="B142" s="28" t="n"/>
      <c r="C142" s="32">
        <f>IF(B142="","",IFERROR(INDEX(Inventario!$B$5:$B$200,MATCH(B142,Inventario!$A$5:$A$200,0)),"SKU no existe"))</f>
        <v/>
      </c>
      <c r="D142" s="28" t="n"/>
      <c r="E142" s="33">
        <f>IF(B142="","",IFERROR(INDEX(Inventario!$D$5:$D$200,MATCH(B142,Inventario!$A$5:$A$200,0)),0))</f>
        <v/>
      </c>
      <c r="F142" s="33">
        <f>IF(OR(B142="",D142=""),"",D142*E142)</f>
        <v/>
      </c>
      <c r="G142" s="32">
        <f>IF(A142="","",IFERROR(INDEX(Pedidos!$L$5:$L$300,MATCH(A142,Pedidos!$A$5:$A$300,0)),"Pedido no existe"))</f>
        <v/>
      </c>
    </row>
    <row r="143" ht="15" customHeight="1" s="19">
      <c r="A143" s="28" t="n"/>
      <c r="B143" s="28" t="n"/>
      <c r="C143" s="32">
        <f>IF(B143="","",IFERROR(INDEX(Inventario!$B$5:$B$200,MATCH(B143,Inventario!$A$5:$A$200,0)),"SKU no existe"))</f>
        <v/>
      </c>
      <c r="D143" s="28" t="n"/>
      <c r="E143" s="33">
        <f>IF(B143="","",IFERROR(INDEX(Inventario!$D$5:$D$200,MATCH(B143,Inventario!$A$5:$A$200,0)),0))</f>
        <v/>
      </c>
      <c r="F143" s="33">
        <f>IF(OR(B143="",D143=""),"",D143*E143)</f>
        <v/>
      </c>
      <c r="G143" s="32">
        <f>IF(A143="","",IFERROR(INDEX(Pedidos!$L$5:$L$300,MATCH(A143,Pedidos!$A$5:$A$300,0)),"Pedido no existe"))</f>
        <v/>
      </c>
    </row>
    <row r="144" ht="15" customHeight="1" s="19">
      <c r="A144" s="28" t="n"/>
      <c r="B144" s="28" t="n"/>
      <c r="C144" s="32">
        <f>IF(B144="","",IFERROR(INDEX(Inventario!$B$5:$B$200,MATCH(B144,Inventario!$A$5:$A$200,0)),"SKU no existe"))</f>
        <v/>
      </c>
      <c r="D144" s="28" t="n"/>
      <c r="E144" s="33">
        <f>IF(B144="","",IFERROR(INDEX(Inventario!$D$5:$D$200,MATCH(B144,Inventario!$A$5:$A$200,0)),0))</f>
        <v/>
      </c>
      <c r="F144" s="33">
        <f>IF(OR(B144="",D144=""),"",D144*E144)</f>
        <v/>
      </c>
      <c r="G144" s="32">
        <f>IF(A144="","",IFERROR(INDEX(Pedidos!$L$5:$L$300,MATCH(A144,Pedidos!$A$5:$A$300,0)),"Pedido no existe"))</f>
        <v/>
      </c>
    </row>
    <row r="145" ht="15" customHeight="1" s="19">
      <c r="A145" s="28" t="n"/>
      <c r="B145" s="28" t="n"/>
      <c r="C145" s="32">
        <f>IF(B145="","",IFERROR(INDEX(Inventario!$B$5:$B$200,MATCH(B145,Inventario!$A$5:$A$200,0)),"SKU no existe"))</f>
        <v/>
      </c>
      <c r="D145" s="28" t="n"/>
      <c r="E145" s="33">
        <f>IF(B145="","",IFERROR(INDEX(Inventario!$D$5:$D$200,MATCH(B145,Inventario!$A$5:$A$200,0)),0))</f>
        <v/>
      </c>
      <c r="F145" s="33">
        <f>IF(OR(B145="",D145=""),"",D145*E145)</f>
        <v/>
      </c>
      <c r="G145" s="32">
        <f>IF(A145="","",IFERROR(INDEX(Pedidos!$L$5:$L$300,MATCH(A145,Pedidos!$A$5:$A$300,0)),"Pedido no existe"))</f>
        <v/>
      </c>
    </row>
    <row r="146" ht="15" customHeight="1" s="19">
      <c r="A146" s="28" t="n"/>
      <c r="B146" s="28" t="n"/>
      <c r="C146" s="32">
        <f>IF(B146="","",IFERROR(INDEX(Inventario!$B$5:$B$200,MATCH(B146,Inventario!$A$5:$A$200,0)),"SKU no existe"))</f>
        <v/>
      </c>
      <c r="D146" s="28" t="n"/>
      <c r="E146" s="33">
        <f>IF(B146="","",IFERROR(INDEX(Inventario!$D$5:$D$200,MATCH(B146,Inventario!$A$5:$A$200,0)),0))</f>
        <v/>
      </c>
      <c r="F146" s="33">
        <f>IF(OR(B146="",D146=""),"",D146*E146)</f>
        <v/>
      </c>
      <c r="G146" s="32">
        <f>IF(A146="","",IFERROR(INDEX(Pedidos!$L$5:$L$300,MATCH(A146,Pedidos!$A$5:$A$300,0)),"Pedido no existe"))</f>
        <v/>
      </c>
    </row>
    <row r="147" ht="15" customHeight="1" s="19">
      <c r="A147" s="28" t="n"/>
      <c r="B147" s="28" t="n"/>
      <c r="C147" s="32">
        <f>IF(B147="","",IFERROR(INDEX(Inventario!$B$5:$B$200,MATCH(B147,Inventario!$A$5:$A$200,0)),"SKU no existe"))</f>
        <v/>
      </c>
      <c r="D147" s="28" t="n"/>
      <c r="E147" s="33">
        <f>IF(B147="","",IFERROR(INDEX(Inventario!$D$5:$D$200,MATCH(B147,Inventario!$A$5:$A$200,0)),0))</f>
        <v/>
      </c>
      <c r="F147" s="33">
        <f>IF(OR(B147="",D147=""),"",D147*E147)</f>
        <v/>
      </c>
      <c r="G147" s="32">
        <f>IF(A147="","",IFERROR(INDEX(Pedidos!$L$5:$L$300,MATCH(A147,Pedidos!$A$5:$A$300,0)),"Pedido no existe"))</f>
        <v/>
      </c>
    </row>
    <row r="148" ht="15" customHeight="1" s="19">
      <c r="A148" s="28" t="n"/>
      <c r="B148" s="28" t="n"/>
      <c r="C148" s="32">
        <f>IF(B148="","",IFERROR(INDEX(Inventario!$B$5:$B$200,MATCH(B148,Inventario!$A$5:$A$200,0)),"SKU no existe"))</f>
        <v/>
      </c>
      <c r="D148" s="28" t="n"/>
      <c r="E148" s="33">
        <f>IF(B148="","",IFERROR(INDEX(Inventario!$D$5:$D$200,MATCH(B148,Inventario!$A$5:$A$200,0)),0))</f>
        <v/>
      </c>
      <c r="F148" s="33">
        <f>IF(OR(B148="",D148=""),"",D148*E148)</f>
        <v/>
      </c>
      <c r="G148" s="32">
        <f>IF(A148="","",IFERROR(INDEX(Pedidos!$L$5:$L$300,MATCH(A148,Pedidos!$A$5:$A$300,0)),"Pedido no existe"))</f>
        <v/>
      </c>
    </row>
    <row r="149" ht="15" customHeight="1" s="19">
      <c r="A149" s="28" t="n"/>
      <c r="B149" s="28" t="n"/>
      <c r="C149" s="32">
        <f>IF(B149="","",IFERROR(INDEX(Inventario!$B$5:$B$200,MATCH(B149,Inventario!$A$5:$A$200,0)),"SKU no existe"))</f>
        <v/>
      </c>
      <c r="D149" s="28" t="n"/>
      <c r="E149" s="33">
        <f>IF(B149="","",IFERROR(INDEX(Inventario!$D$5:$D$200,MATCH(B149,Inventario!$A$5:$A$200,0)),0))</f>
        <v/>
      </c>
      <c r="F149" s="33">
        <f>IF(OR(B149="",D149=""),"",D149*E149)</f>
        <v/>
      </c>
      <c r="G149" s="32">
        <f>IF(A149="","",IFERROR(INDEX(Pedidos!$L$5:$L$300,MATCH(A149,Pedidos!$A$5:$A$300,0)),"Pedido no existe"))</f>
        <v/>
      </c>
    </row>
    <row r="150" ht="15" customHeight="1" s="19">
      <c r="A150" s="28" t="n"/>
      <c r="B150" s="28" t="n"/>
      <c r="C150" s="32">
        <f>IF(B150="","",IFERROR(INDEX(Inventario!$B$5:$B$200,MATCH(B150,Inventario!$A$5:$A$200,0)),"SKU no existe"))</f>
        <v/>
      </c>
      <c r="D150" s="28" t="n"/>
      <c r="E150" s="33">
        <f>IF(B150="","",IFERROR(INDEX(Inventario!$D$5:$D$200,MATCH(B150,Inventario!$A$5:$A$200,0)),0))</f>
        <v/>
      </c>
      <c r="F150" s="33">
        <f>IF(OR(B150="",D150=""),"",D150*E150)</f>
        <v/>
      </c>
      <c r="G150" s="32">
        <f>IF(A150="","",IFERROR(INDEX(Pedidos!$L$5:$L$300,MATCH(A150,Pedidos!$A$5:$A$300,0)),"Pedido no existe"))</f>
        <v/>
      </c>
    </row>
    <row r="151" ht="15" customHeight="1" s="19">
      <c r="A151" s="28" t="n"/>
      <c r="B151" s="28" t="n"/>
      <c r="C151" s="32">
        <f>IF(B151="","",IFERROR(INDEX(Inventario!$B$5:$B$200,MATCH(B151,Inventario!$A$5:$A$200,0)),"SKU no existe"))</f>
        <v/>
      </c>
      <c r="D151" s="28" t="n"/>
      <c r="E151" s="33">
        <f>IF(B151="","",IFERROR(INDEX(Inventario!$D$5:$D$200,MATCH(B151,Inventario!$A$5:$A$200,0)),0))</f>
        <v/>
      </c>
      <c r="F151" s="33">
        <f>IF(OR(B151="",D151=""),"",D151*E151)</f>
        <v/>
      </c>
      <c r="G151" s="32">
        <f>IF(A151="","",IFERROR(INDEX(Pedidos!$L$5:$L$300,MATCH(A151,Pedidos!$A$5:$A$300,0)),"Pedido no existe"))</f>
        <v/>
      </c>
    </row>
    <row r="152" ht="15" customHeight="1" s="19">
      <c r="A152" s="28" t="n"/>
      <c r="B152" s="28" t="n"/>
      <c r="C152" s="32">
        <f>IF(B152="","",IFERROR(INDEX(Inventario!$B$5:$B$200,MATCH(B152,Inventario!$A$5:$A$200,0)),"SKU no existe"))</f>
        <v/>
      </c>
      <c r="D152" s="28" t="n"/>
      <c r="E152" s="33">
        <f>IF(B152="","",IFERROR(INDEX(Inventario!$D$5:$D$200,MATCH(B152,Inventario!$A$5:$A$200,0)),0))</f>
        <v/>
      </c>
      <c r="F152" s="33">
        <f>IF(OR(B152="",D152=""),"",D152*E152)</f>
        <v/>
      </c>
      <c r="G152" s="32">
        <f>IF(A152="","",IFERROR(INDEX(Pedidos!$L$5:$L$300,MATCH(A152,Pedidos!$A$5:$A$300,0)),"Pedido no existe"))</f>
        <v/>
      </c>
    </row>
    <row r="153" ht="15" customHeight="1" s="19">
      <c r="A153" s="28" t="n"/>
      <c r="B153" s="28" t="n"/>
      <c r="C153" s="32">
        <f>IF(B153="","",IFERROR(INDEX(Inventario!$B$5:$B$200,MATCH(B153,Inventario!$A$5:$A$200,0)),"SKU no existe"))</f>
        <v/>
      </c>
      <c r="D153" s="28" t="n"/>
      <c r="E153" s="33">
        <f>IF(B153="","",IFERROR(INDEX(Inventario!$D$5:$D$200,MATCH(B153,Inventario!$A$5:$A$200,0)),0))</f>
        <v/>
      </c>
      <c r="F153" s="33">
        <f>IF(OR(B153="",D153=""),"",D153*E153)</f>
        <v/>
      </c>
      <c r="G153" s="32">
        <f>IF(A153="","",IFERROR(INDEX(Pedidos!$L$5:$L$300,MATCH(A153,Pedidos!$A$5:$A$300,0)),"Pedido no existe"))</f>
        <v/>
      </c>
    </row>
    <row r="154" ht="15" customHeight="1" s="19">
      <c r="A154" s="28" t="n"/>
      <c r="B154" s="28" t="n"/>
      <c r="C154" s="32">
        <f>IF(B154="","",IFERROR(INDEX(Inventario!$B$5:$B$200,MATCH(B154,Inventario!$A$5:$A$200,0)),"SKU no existe"))</f>
        <v/>
      </c>
      <c r="D154" s="28" t="n"/>
      <c r="E154" s="33">
        <f>IF(B154="","",IFERROR(INDEX(Inventario!$D$5:$D$200,MATCH(B154,Inventario!$A$5:$A$200,0)),0))</f>
        <v/>
      </c>
      <c r="F154" s="33">
        <f>IF(OR(B154="",D154=""),"",D154*E154)</f>
        <v/>
      </c>
      <c r="G154" s="32">
        <f>IF(A154="","",IFERROR(INDEX(Pedidos!$L$5:$L$300,MATCH(A154,Pedidos!$A$5:$A$300,0)),"Pedido no existe"))</f>
        <v/>
      </c>
    </row>
    <row r="155" ht="15" customHeight="1" s="19">
      <c r="A155" s="28" t="n"/>
      <c r="B155" s="28" t="n"/>
      <c r="C155" s="32">
        <f>IF(B155="","",IFERROR(INDEX(Inventario!$B$5:$B$200,MATCH(B155,Inventario!$A$5:$A$200,0)),"SKU no existe"))</f>
        <v/>
      </c>
      <c r="D155" s="28" t="n"/>
      <c r="E155" s="33">
        <f>IF(B155="","",IFERROR(INDEX(Inventario!$D$5:$D$200,MATCH(B155,Inventario!$A$5:$A$200,0)),0))</f>
        <v/>
      </c>
      <c r="F155" s="33">
        <f>IF(OR(B155="",D155=""),"",D155*E155)</f>
        <v/>
      </c>
      <c r="G155" s="32">
        <f>IF(A155="","",IFERROR(INDEX(Pedidos!$L$5:$L$300,MATCH(A155,Pedidos!$A$5:$A$300,0)),"Pedido no existe"))</f>
        <v/>
      </c>
    </row>
    <row r="156" ht="15" customHeight="1" s="19">
      <c r="A156" s="28" t="n"/>
      <c r="B156" s="28" t="n"/>
      <c r="C156" s="32">
        <f>IF(B156="","",IFERROR(INDEX(Inventario!$B$5:$B$200,MATCH(B156,Inventario!$A$5:$A$200,0)),"SKU no existe"))</f>
        <v/>
      </c>
      <c r="D156" s="28" t="n"/>
      <c r="E156" s="33">
        <f>IF(B156="","",IFERROR(INDEX(Inventario!$D$5:$D$200,MATCH(B156,Inventario!$A$5:$A$200,0)),0))</f>
        <v/>
      </c>
      <c r="F156" s="33">
        <f>IF(OR(B156="",D156=""),"",D156*E156)</f>
        <v/>
      </c>
      <c r="G156" s="32">
        <f>IF(A156="","",IFERROR(INDEX(Pedidos!$L$5:$L$300,MATCH(A156,Pedidos!$A$5:$A$300,0)),"Pedido no existe"))</f>
        <v/>
      </c>
    </row>
    <row r="157" ht="15" customHeight="1" s="19">
      <c r="A157" s="28" t="n"/>
      <c r="B157" s="28" t="n"/>
      <c r="C157" s="32">
        <f>IF(B157="","",IFERROR(INDEX(Inventario!$B$5:$B$200,MATCH(B157,Inventario!$A$5:$A$200,0)),"SKU no existe"))</f>
        <v/>
      </c>
      <c r="D157" s="28" t="n"/>
      <c r="E157" s="33">
        <f>IF(B157="","",IFERROR(INDEX(Inventario!$D$5:$D$200,MATCH(B157,Inventario!$A$5:$A$200,0)),0))</f>
        <v/>
      </c>
      <c r="F157" s="33">
        <f>IF(OR(B157="",D157=""),"",D157*E157)</f>
        <v/>
      </c>
      <c r="G157" s="32">
        <f>IF(A157="","",IFERROR(INDEX(Pedidos!$L$5:$L$300,MATCH(A157,Pedidos!$A$5:$A$300,0)),"Pedido no existe"))</f>
        <v/>
      </c>
    </row>
    <row r="158" ht="15" customHeight="1" s="19">
      <c r="A158" s="28" t="n"/>
      <c r="B158" s="28" t="n"/>
      <c r="C158" s="32">
        <f>IF(B158="","",IFERROR(INDEX(Inventario!$B$5:$B$200,MATCH(B158,Inventario!$A$5:$A$200,0)),"SKU no existe"))</f>
        <v/>
      </c>
      <c r="D158" s="28" t="n"/>
      <c r="E158" s="33">
        <f>IF(B158="","",IFERROR(INDEX(Inventario!$D$5:$D$200,MATCH(B158,Inventario!$A$5:$A$200,0)),0))</f>
        <v/>
      </c>
      <c r="F158" s="33">
        <f>IF(OR(B158="",D158=""),"",D158*E158)</f>
        <v/>
      </c>
      <c r="G158" s="32">
        <f>IF(A158="","",IFERROR(INDEX(Pedidos!$L$5:$L$300,MATCH(A158,Pedidos!$A$5:$A$300,0)),"Pedido no existe"))</f>
        <v/>
      </c>
    </row>
    <row r="159" ht="15" customHeight="1" s="19">
      <c r="A159" s="28" t="n"/>
      <c r="B159" s="28" t="n"/>
      <c r="C159" s="32">
        <f>IF(B159="","",IFERROR(INDEX(Inventario!$B$5:$B$200,MATCH(B159,Inventario!$A$5:$A$200,0)),"SKU no existe"))</f>
        <v/>
      </c>
      <c r="D159" s="28" t="n"/>
      <c r="E159" s="33">
        <f>IF(B159="","",IFERROR(INDEX(Inventario!$D$5:$D$200,MATCH(B159,Inventario!$A$5:$A$200,0)),0))</f>
        <v/>
      </c>
      <c r="F159" s="33">
        <f>IF(OR(B159="",D159=""),"",D159*E159)</f>
        <v/>
      </c>
      <c r="G159" s="32">
        <f>IF(A159="","",IFERROR(INDEX(Pedidos!$L$5:$L$300,MATCH(A159,Pedidos!$A$5:$A$300,0)),"Pedido no existe"))</f>
        <v/>
      </c>
    </row>
    <row r="160" ht="15" customHeight="1" s="19">
      <c r="A160" s="28" t="n"/>
      <c r="B160" s="28" t="n"/>
      <c r="C160" s="32">
        <f>IF(B160="","",IFERROR(INDEX(Inventario!$B$5:$B$200,MATCH(B160,Inventario!$A$5:$A$200,0)),"SKU no existe"))</f>
        <v/>
      </c>
      <c r="D160" s="28" t="n"/>
      <c r="E160" s="33">
        <f>IF(B160="","",IFERROR(INDEX(Inventario!$D$5:$D$200,MATCH(B160,Inventario!$A$5:$A$200,0)),0))</f>
        <v/>
      </c>
      <c r="F160" s="33">
        <f>IF(OR(B160="",D160=""),"",D160*E160)</f>
        <v/>
      </c>
      <c r="G160" s="32">
        <f>IF(A160="","",IFERROR(INDEX(Pedidos!$L$5:$L$300,MATCH(A160,Pedidos!$A$5:$A$300,0)),"Pedido no existe"))</f>
        <v/>
      </c>
    </row>
    <row r="161" ht="15" customHeight="1" s="19">
      <c r="A161" s="28" t="n"/>
      <c r="B161" s="28" t="n"/>
      <c r="C161" s="32">
        <f>IF(B161="","",IFERROR(INDEX(Inventario!$B$5:$B$200,MATCH(B161,Inventario!$A$5:$A$200,0)),"SKU no existe"))</f>
        <v/>
      </c>
      <c r="D161" s="28" t="n"/>
      <c r="E161" s="33">
        <f>IF(B161="","",IFERROR(INDEX(Inventario!$D$5:$D$200,MATCH(B161,Inventario!$A$5:$A$200,0)),0))</f>
        <v/>
      </c>
      <c r="F161" s="33">
        <f>IF(OR(B161="",D161=""),"",D161*E161)</f>
        <v/>
      </c>
      <c r="G161" s="32">
        <f>IF(A161="","",IFERROR(INDEX(Pedidos!$L$5:$L$300,MATCH(A161,Pedidos!$A$5:$A$300,0)),"Pedido no existe"))</f>
        <v/>
      </c>
    </row>
    <row r="162" ht="15" customHeight="1" s="19">
      <c r="A162" s="28" t="n"/>
      <c r="B162" s="28" t="n"/>
      <c r="C162" s="32">
        <f>IF(B162="","",IFERROR(INDEX(Inventario!$B$5:$B$200,MATCH(B162,Inventario!$A$5:$A$200,0)),"SKU no existe"))</f>
        <v/>
      </c>
      <c r="D162" s="28" t="n"/>
      <c r="E162" s="33">
        <f>IF(B162="","",IFERROR(INDEX(Inventario!$D$5:$D$200,MATCH(B162,Inventario!$A$5:$A$200,0)),0))</f>
        <v/>
      </c>
      <c r="F162" s="33">
        <f>IF(OR(B162="",D162=""),"",D162*E162)</f>
        <v/>
      </c>
      <c r="G162" s="32">
        <f>IF(A162="","",IFERROR(INDEX(Pedidos!$L$5:$L$300,MATCH(A162,Pedidos!$A$5:$A$300,0)),"Pedido no existe"))</f>
        <v/>
      </c>
    </row>
    <row r="163" ht="15" customHeight="1" s="19">
      <c r="A163" s="28" t="n"/>
      <c r="B163" s="28" t="n"/>
      <c r="C163" s="32">
        <f>IF(B163="","",IFERROR(INDEX(Inventario!$B$5:$B$200,MATCH(B163,Inventario!$A$5:$A$200,0)),"SKU no existe"))</f>
        <v/>
      </c>
      <c r="D163" s="28" t="n"/>
      <c r="E163" s="33">
        <f>IF(B163="","",IFERROR(INDEX(Inventario!$D$5:$D$200,MATCH(B163,Inventario!$A$5:$A$200,0)),0))</f>
        <v/>
      </c>
      <c r="F163" s="33">
        <f>IF(OR(B163="",D163=""),"",D163*E163)</f>
        <v/>
      </c>
      <c r="G163" s="32">
        <f>IF(A163="","",IFERROR(INDEX(Pedidos!$L$5:$L$300,MATCH(A163,Pedidos!$A$5:$A$300,0)),"Pedido no existe"))</f>
        <v/>
      </c>
    </row>
    <row r="164" ht="15" customHeight="1" s="19">
      <c r="A164" s="28" t="n"/>
      <c r="B164" s="28" t="n"/>
      <c r="C164" s="32">
        <f>IF(B164="","",IFERROR(INDEX(Inventario!$B$5:$B$200,MATCH(B164,Inventario!$A$5:$A$200,0)),"SKU no existe"))</f>
        <v/>
      </c>
      <c r="D164" s="28" t="n"/>
      <c r="E164" s="33">
        <f>IF(B164="","",IFERROR(INDEX(Inventario!$D$5:$D$200,MATCH(B164,Inventario!$A$5:$A$200,0)),0))</f>
        <v/>
      </c>
      <c r="F164" s="33">
        <f>IF(OR(B164="",D164=""),"",D164*E164)</f>
        <v/>
      </c>
      <c r="G164" s="32">
        <f>IF(A164="","",IFERROR(INDEX(Pedidos!$L$5:$L$300,MATCH(A164,Pedidos!$A$5:$A$300,0)),"Pedido no existe"))</f>
        <v/>
      </c>
    </row>
    <row r="165" ht="15" customHeight="1" s="19">
      <c r="A165" s="28" t="n"/>
      <c r="B165" s="28" t="n"/>
      <c r="C165" s="32">
        <f>IF(B165="","",IFERROR(INDEX(Inventario!$B$5:$B$200,MATCH(B165,Inventario!$A$5:$A$200,0)),"SKU no existe"))</f>
        <v/>
      </c>
      <c r="D165" s="28" t="n"/>
      <c r="E165" s="33">
        <f>IF(B165="","",IFERROR(INDEX(Inventario!$D$5:$D$200,MATCH(B165,Inventario!$A$5:$A$200,0)),0))</f>
        <v/>
      </c>
      <c r="F165" s="33">
        <f>IF(OR(B165="",D165=""),"",D165*E165)</f>
        <v/>
      </c>
      <c r="G165" s="32">
        <f>IF(A165="","",IFERROR(INDEX(Pedidos!$L$5:$L$300,MATCH(A165,Pedidos!$A$5:$A$300,0)),"Pedido no existe"))</f>
        <v/>
      </c>
    </row>
    <row r="166" ht="15" customHeight="1" s="19">
      <c r="A166" s="28" t="n"/>
      <c r="B166" s="28" t="n"/>
      <c r="C166" s="32">
        <f>IF(B166="","",IFERROR(INDEX(Inventario!$B$5:$B$200,MATCH(B166,Inventario!$A$5:$A$200,0)),"SKU no existe"))</f>
        <v/>
      </c>
      <c r="D166" s="28" t="n"/>
      <c r="E166" s="33">
        <f>IF(B166="","",IFERROR(INDEX(Inventario!$D$5:$D$200,MATCH(B166,Inventario!$A$5:$A$200,0)),0))</f>
        <v/>
      </c>
      <c r="F166" s="33">
        <f>IF(OR(B166="",D166=""),"",D166*E166)</f>
        <v/>
      </c>
      <c r="G166" s="32">
        <f>IF(A166="","",IFERROR(INDEX(Pedidos!$L$5:$L$300,MATCH(A166,Pedidos!$A$5:$A$300,0)),"Pedido no existe"))</f>
        <v/>
      </c>
    </row>
    <row r="167" ht="15" customHeight="1" s="19">
      <c r="A167" s="28" t="n"/>
      <c r="B167" s="28" t="n"/>
      <c r="C167" s="32">
        <f>IF(B167="","",IFERROR(INDEX(Inventario!$B$5:$B$200,MATCH(B167,Inventario!$A$5:$A$200,0)),"SKU no existe"))</f>
        <v/>
      </c>
      <c r="D167" s="28" t="n"/>
      <c r="E167" s="33">
        <f>IF(B167="","",IFERROR(INDEX(Inventario!$D$5:$D$200,MATCH(B167,Inventario!$A$5:$A$200,0)),0))</f>
        <v/>
      </c>
      <c r="F167" s="33">
        <f>IF(OR(B167="",D167=""),"",D167*E167)</f>
        <v/>
      </c>
      <c r="G167" s="32">
        <f>IF(A167="","",IFERROR(INDEX(Pedidos!$L$5:$L$300,MATCH(A167,Pedidos!$A$5:$A$300,0)),"Pedido no existe"))</f>
        <v/>
      </c>
    </row>
    <row r="168" ht="15" customHeight="1" s="19">
      <c r="A168" s="28" t="n"/>
      <c r="B168" s="28" t="n"/>
      <c r="C168" s="32">
        <f>IF(B168="","",IFERROR(INDEX(Inventario!$B$5:$B$200,MATCH(B168,Inventario!$A$5:$A$200,0)),"SKU no existe"))</f>
        <v/>
      </c>
      <c r="D168" s="28" t="n"/>
      <c r="E168" s="33">
        <f>IF(B168="","",IFERROR(INDEX(Inventario!$D$5:$D$200,MATCH(B168,Inventario!$A$5:$A$200,0)),0))</f>
        <v/>
      </c>
      <c r="F168" s="33">
        <f>IF(OR(B168="",D168=""),"",D168*E168)</f>
        <v/>
      </c>
      <c r="G168" s="32">
        <f>IF(A168="","",IFERROR(INDEX(Pedidos!$L$5:$L$300,MATCH(A168,Pedidos!$A$5:$A$300,0)),"Pedido no existe"))</f>
        <v/>
      </c>
    </row>
    <row r="169" ht="15" customHeight="1" s="19">
      <c r="A169" s="28" t="n"/>
      <c r="B169" s="28" t="n"/>
      <c r="C169" s="32">
        <f>IF(B169="","",IFERROR(INDEX(Inventario!$B$5:$B$200,MATCH(B169,Inventario!$A$5:$A$200,0)),"SKU no existe"))</f>
        <v/>
      </c>
      <c r="D169" s="28" t="n"/>
      <c r="E169" s="33">
        <f>IF(B169="","",IFERROR(INDEX(Inventario!$D$5:$D$200,MATCH(B169,Inventario!$A$5:$A$200,0)),0))</f>
        <v/>
      </c>
      <c r="F169" s="33">
        <f>IF(OR(B169="",D169=""),"",D169*E169)</f>
        <v/>
      </c>
      <c r="G169" s="32">
        <f>IF(A169="","",IFERROR(INDEX(Pedidos!$L$5:$L$300,MATCH(A169,Pedidos!$A$5:$A$300,0)),"Pedido no existe"))</f>
        <v/>
      </c>
    </row>
    <row r="170" ht="15" customHeight="1" s="19">
      <c r="A170" s="28" t="n"/>
      <c r="B170" s="28" t="n"/>
      <c r="C170" s="32">
        <f>IF(B170="","",IFERROR(INDEX(Inventario!$B$5:$B$200,MATCH(B170,Inventario!$A$5:$A$200,0)),"SKU no existe"))</f>
        <v/>
      </c>
      <c r="D170" s="28" t="n"/>
      <c r="E170" s="33">
        <f>IF(B170="","",IFERROR(INDEX(Inventario!$D$5:$D$200,MATCH(B170,Inventario!$A$5:$A$200,0)),0))</f>
        <v/>
      </c>
      <c r="F170" s="33">
        <f>IF(OR(B170="",D170=""),"",D170*E170)</f>
        <v/>
      </c>
      <c r="G170" s="32">
        <f>IF(A170="","",IFERROR(INDEX(Pedidos!$L$5:$L$300,MATCH(A170,Pedidos!$A$5:$A$300,0)),"Pedido no existe"))</f>
        <v/>
      </c>
    </row>
    <row r="171" ht="15" customHeight="1" s="19">
      <c r="A171" s="28" t="n"/>
      <c r="B171" s="28" t="n"/>
      <c r="C171" s="32">
        <f>IF(B171="","",IFERROR(INDEX(Inventario!$B$5:$B$200,MATCH(B171,Inventario!$A$5:$A$200,0)),"SKU no existe"))</f>
        <v/>
      </c>
      <c r="D171" s="28" t="n"/>
      <c r="E171" s="33">
        <f>IF(B171="","",IFERROR(INDEX(Inventario!$D$5:$D$200,MATCH(B171,Inventario!$A$5:$A$200,0)),0))</f>
        <v/>
      </c>
      <c r="F171" s="33">
        <f>IF(OR(B171="",D171=""),"",D171*E171)</f>
        <v/>
      </c>
      <c r="G171" s="32">
        <f>IF(A171="","",IFERROR(INDEX(Pedidos!$L$5:$L$300,MATCH(A171,Pedidos!$A$5:$A$300,0)),"Pedido no existe"))</f>
        <v/>
      </c>
    </row>
    <row r="172" ht="15" customHeight="1" s="19">
      <c r="A172" s="28" t="n"/>
      <c r="B172" s="28" t="n"/>
      <c r="C172" s="32">
        <f>IF(B172="","",IFERROR(INDEX(Inventario!$B$5:$B$200,MATCH(B172,Inventario!$A$5:$A$200,0)),"SKU no existe"))</f>
        <v/>
      </c>
      <c r="D172" s="28" t="n"/>
      <c r="E172" s="33">
        <f>IF(B172="","",IFERROR(INDEX(Inventario!$D$5:$D$200,MATCH(B172,Inventario!$A$5:$A$200,0)),0))</f>
        <v/>
      </c>
      <c r="F172" s="33">
        <f>IF(OR(B172="",D172=""),"",D172*E172)</f>
        <v/>
      </c>
      <c r="G172" s="32">
        <f>IF(A172="","",IFERROR(INDEX(Pedidos!$L$5:$L$300,MATCH(A172,Pedidos!$A$5:$A$300,0)),"Pedido no existe"))</f>
        <v/>
      </c>
    </row>
    <row r="173" ht="15" customHeight="1" s="19">
      <c r="A173" s="28" t="n"/>
      <c r="B173" s="28" t="n"/>
      <c r="C173" s="32">
        <f>IF(B173="","",IFERROR(INDEX(Inventario!$B$5:$B$200,MATCH(B173,Inventario!$A$5:$A$200,0)),"SKU no existe"))</f>
        <v/>
      </c>
      <c r="D173" s="28" t="n"/>
      <c r="E173" s="33">
        <f>IF(B173="","",IFERROR(INDEX(Inventario!$D$5:$D$200,MATCH(B173,Inventario!$A$5:$A$200,0)),0))</f>
        <v/>
      </c>
      <c r="F173" s="33">
        <f>IF(OR(B173="",D173=""),"",D173*E173)</f>
        <v/>
      </c>
      <c r="G173" s="32">
        <f>IF(A173="","",IFERROR(INDEX(Pedidos!$L$5:$L$300,MATCH(A173,Pedidos!$A$5:$A$300,0)),"Pedido no existe"))</f>
        <v/>
      </c>
    </row>
    <row r="174" ht="15" customHeight="1" s="19">
      <c r="A174" s="28" t="n"/>
      <c r="B174" s="28" t="n"/>
      <c r="C174" s="32">
        <f>IF(B174="","",IFERROR(INDEX(Inventario!$B$5:$B$200,MATCH(B174,Inventario!$A$5:$A$200,0)),"SKU no existe"))</f>
        <v/>
      </c>
      <c r="D174" s="28" t="n"/>
      <c r="E174" s="33">
        <f>IF(B174="","",IFERROR(INDEX(Inventario!$D$5:$D$200,MATCH(B174,Inventario!$A$5:$A$200,0)),0))</f>
        <v/>
      </c>
      <c r="F174" s="33">
        <f>IF(OR(B174="",D174=""),"",D174*E174)</f>
        <v/>
      </c>
      <c r="G174" s="32">
        <f>IF(A174="","",IFERROR(INDEX(Pedidos!$L$5:$L$300,MATCH(A174,Pedidos!$A$5:$A$300,0)),"Pedido no existe"))</f>
        <v/>
      </c>
    </row>
    <row r="175" ht="15" customHeight="1" s="19">
      <c r="A175" s="28" t="n"/>
      <c r="B175" s="28" t="n"/>
      <c r="C175" s="32">
        <f>IF(B175="","",IFERROR(INDEX(Inventario!$B$5:$B$200,MATCH(B175,Inventario!$A$5:$A$200,0)),"SKU no existe"))</f>
        <v/>
      </c>
      <c r="D175" s="28" t="n"/>
      <c r="E175" s="33">
        <f>IF(B175="","",IFERROR(INDEX(Inventario!$D$5:$D$200,MATCH(B175,Inventario!$A$5:$A$200,0)),0))</f>
        <v/>
      </c>
      <c r="F175" s="33">
        <f>IF(OR(B175="",D175=""),"",D175*E175)</f>
        <v/>
      </c>
      <c r="G175" s="32">
        <f>IF(A175="","",IFERROR(INDEX(Pedidos!$L$5:$L$300,MATCH(A175,Pedidos!$A$5:$A$300,0)),"Pedido no existe"))</f>
        <v/>
      </c>
    </row>
    <row r="176" ht="15" customHeight="1" s="19">
      <c r="A176" s="28" t="n"/>
      <c r="B176" s="28" t="n"/>
      <c r="C176" s="32">
        <f>IF(B176="","",IFERROR(INDEX(Inventario!$B$5:$B$200,MATCH(B176,Inventario!$A$5:$A$200,0)),"SKU no existe"))</f>
        <v/>
      </c>
      <c r="D176" s="28" t="n"/>
      <c r="E176" s="33">
        <f>IF(B176="","",IFERROR(INDEX(Inventario!$D$5:$D$200,MATCH(B176,Inventario!$A$5:$A$200,0)),0))</f>
        <v/>
      </c>
      <c r="F176" s="33">
        <f>IF(OR(B176="",D176=""),"",D176*E176)</f>
        <v/>
      </c>
      <c r="G176" s="32">
        <f>IF(A176="","",IFERROR(INDEX(Pedidos!$L$5:$L$300,MATCH(A176,Pedidos!$A$5:$A$300,0)),"Pedido no existe"))</f>
        <v/>
      </c>
    </row>
    <row r="177" ht="15" customHeight="1" s="19">
      <c r="A177" s="28" t="n"/>
      <c r="B177" s="28" t="n"/>
      <c r="C177" s="32">
        <f>IF(B177="","",IFERROR(INDEX(Inventario!$B$5:$B$200,MATCH(B177,Inventario!$A$5:$A$200,0)),"SKU no existe"))</f>
        <v/>
      </c>
      <c r="D177" s="28" t="n"/>
      <c r="E177" s="33">
        <f>IF(B177="","",IFERROR(INDEX(Inventario!$D$5:$D$200,MATCH(B177,Inventario!$A$5:$A$200,0)),0))</f>
        <v/>
      </c>
      <c r="F177" s="33">
        <f>IF(OR(B177="",D177=""),"",D177*E177)</f>
        <v/>
      </c>
      <c r="G177" s="32">
        <f>IF(A177="","",IFERROR(INDEX(Pedidos!$L$5:$L$300,MATCH(A177,Pedidos!$A$5:$A$300,0)),"Pedido no existe"))</f>
        <v/>
      </c>
    </row>
    <row r="178" ht="15" customHeight="1" s="19">
      <c r="A178" s="28" t="n"/>
      <c r="B178" s="28" t="n"/>
      <c r="C178" s="32">
        <f>IF(B178="","",IFERROR(INDEX(Inventario!$B$5:$B$200,MATCH(B178,Inventario!$A$5:$A$200,0)),"SKU no existe"))</f>
        <v/>
      </c>
      <c r="D178" s="28" t="n"/>
      <c r="E178" s="33">
        <f>IF(B178="","",IFERROR(INDEX(Inventario!$D$5:$D$200,MATCH(B178,Inventario!$A$5:$A$200,0)),0))</f>
        <v/>
      </c>
      <c r="F178" s="33">
        <f>IF(OR(B178="",D178=""),"",D178*E178)</f>
        <v/>
      </c>
      <c r="G178" s="32">
        <f>IF(A178="","",IFERROR(INDEX(Pedidos!$L$5:$L$300,MATCH(A178,Pedidos!$A$5:$A$300,0)),"Pedido no existe"))</f>
        <v/>
      </c>
    </row>
    <row r="179" ht="15" customHeight="1" s="19">
      <c r="A179" s="28" t="n"/>
      <c r="B179" s="28" t="n"/>
      <c r="C179" s="32">
        <f>IF(B179="","",IFERROR(INDEX(Inventario!$B$5:$B$200,MATCH(B179,Inventario!$A$5:$A$200,0)),"SKU no existe"))</f>
        <v/>
      </c>
      <c r="D179" s="28" t="n"/>
      <c r="E179" s="33">
        <f>IF(B179="","",IFERROR(INDEX(Inventario!$D$5:$D$200,MATCH(B179,Inventario!$A$5:$A$200,0)),0))</f>
        <v/>
      </c>
      <c r="F179" s="33">
        <f>IF(OR(B179="",D179=""),"",D179*E179)</f>
        <v/>
      </c>
      <c r="G179" s="32">
        <f>IF(A179="","",IFERROR(INDEX(Pedidos!$L$5:$L$300,MATCH(A179,Pedidos!$A$5:$A$300,0)),"Pedido no existe"))</f>
        <v/>
      </c>
    </row>
    <row r="180" ht="15" customHeight="1" s="19">
      <c r="A180" s="28" t="n"/>
      <c r="B180" s="28" t="n"/>
      <c r="C180" s="32">
        <f>IF(B180="","",IFERROR(INDEX(Inventario!$B$5:$B$200,MATCH(B180,Inventario!$A$5:$A$200,0)),"SKU no existe"))</f>
        <v/>
      </c>
      <c r="D180" s="28" t="n"/>
      <c r="E180" s="33">
        <f>IF(B180="","",IFERROR(INDEX(Inventario!$D$5:$D$200,MATCH(B180,Inventario!$A$5:$A$200,0)),0))</f>
        <v/>
      </c>
      <c r="F180" s="33">
        <f>IF(OR(B180="",D180=""),"",D180*E180)</f>
        <v/>
      </c>
      <c r="G180" s="32">
        <f>IF(A180="","",IFERROR(INDEX(Pedidos!$L$5:$L$300,MATCH(A180,Pedidos!$A$5:$A$300,0)),"Pedido no existe"))</f>
        <v/>
      </c>
    </row>
    <row r="181" ht="15" customHeight="1" s="19">
      <c r="A181" s="28" t="n"/>
      <c r="B181" s="28" t="n"/>
      <c r="C181" s="32">
        <f>IF(B181="","",IFERROR(INDEX(Inventario!$B$5:$B$200,MATCH(B181,Inventario!$A$5:$A$200,0)),"SKU no existe"))</f>
        <v/>
      </c>
      <c r="D181" s="28" t="n"/>
      <c r="E181" s="33">
        <f>IF(B181="","",IFERROR(INDEX(Inventario!$D$5:$D$200,MATCH(B181,Inventario!$A$5:$A$200,0)),0))</f>
        <v/>
      </c>
      <c r="F181" s="33">
        <f>IF(OR(B181="",D181=""),"",D181*E181)</f>
        <v/>
      </c>
      <c r="G181" s="32">
        <f>IF(A181="","",IFERROR(INDEX(Pedidos!$L$5:$L$300,MATCH(A181,Pedidos!$A$5:$A$300,0)),"Pedido no existe"))</f>
        <v/>
      </c>
    </row>
    <row r="182" ht="15" customHeight="1" s="19">
      <c r="A182" s="28" t="n"/>
      <c r="B182" s="28" t="n"/>
      <c r="C182" s="32">
        <f>IF(B182="","",IFERROR(INDEX(Inventario!$B$5:$B$200,MATCH(B182,Inventario!$A$5:$A$200,0)),"SKU no existe"))</f>
        <v/>
      </c>
      <c r="D182" s="28" t="n"/>
      <c r="E182" s="33">
        <f>IF(B182="","",IFERROR(INDEX(Inventario!$D$5:$D$200,MATCH(B182,Inventario!$A$5:$A$200,0)),0))</f>
        <v/>
      </c>
      <c r="F182" s="33">
        <f>IF(OR(B182="",D182=""),"",D182*E182)</f>
        <v/>
      </c>
      <c r="G182" s="32">
        <f>IF(A182="","",IFERROR(INDEX(Pedidos!$L$5:$L$300,MATCH(A182,Pedidos!$A$5:$A$300,0)),"Pedido no existe"))</f>
        <v/>
      </c>
    </row>
    <row r="183" ht="15" customHeight="1" s="19">
      <c r="A183" s="28" t="n"/>
      <c r="B183" s="28" t="n"/>
      <c r="C183" s="32">
        <f>IF(B183="","",IFERROR(INDEX(Inventario!$B$5:$B$200,MATCH(B183,Inventario!$A$5:$A$200,0)),"SKU no existe"))</f>
        <v/>
      </c>
      <c r="D183" s="28" t="n"/>
      <c r="E183" s="33">
        <f>IF(B183="","",IFERROR(INDEX(Inventario!$D$5:$D$200,MATCH(B183,Inventario!$A$5:$A$200,0)),0))</f>
        <v/>
      </c>
      <c r="F183" s="33">
        <f>IF(OR(B183="",D183=""),"",D183*E183)</f>
        <v/>
      </c>
      <c r="G183" s="32">
        <f>IF(A183="","",IFERROR(INDEX(Pedidos!$L$5:$L$300,MATCH(A183,Pedidos!$A$5:$A$300,0)),"Pedido no existe"))</f>
        <v/>
      </c>
    </row>
    <row r="184" ht="15" customHeight="1" s="19">
      <c r="A184" s="28" t="n"/>
      <c r="B184" s="28" t="n"/>
      <c r="C184" s="32">
        <f>IF(B184="","",IFERROR(INDEX(Inventario!$B$5:$B$200,MATCH(B184,Inventario!$A$5:$A$200,0)),"SKU no existe"))</f>
        <v/>
      </c>
      <c r="D184" s="28" t="n"/>
      <c r="E184" s="33">
        <f>IF(B184="","",IFERROR(INDEX(Inventario!$D$5:$D$200,MATCH(B184,Inventario!$A$5:$A$200,0)),0))</f>
        <v/>
      </c>
      <c r="F184" s="33">
        <f>IF(OR(B184="",D184=""),"",D184*E184)</f>
        <v/>
      </c>
      <c r="G184" s="32">
        <f>IF(A184="","",IFERROR(INDEX(Pedidos!$L$5:$L$300,MATCH(A184,Pedidos!$A$5:$A$300,0)),"Pedido no existe"))</f>
        <v/>
      </c>
    </row>
    <row r="185" ht="15" customHeight="1" s="19">
      <c r="A185" s="28" t="n"/>
      <c r="B185" s="28" t="n"/>
      <c r="C185" s="32">
        <f>IF(B185="","",IFERROR(INDEX(Inventario!$B$5:$B$200,MATCH(B185,Inventario!$A$5:$A$200,0)),"SKU no existe"))</f>
        <v/>
      </c>
      <c r="D185" s="28" t="n"/>
      <c r="E185" s="33">
        <f>IF(B185="","",IFERROR(INDEX(Inventario!$D$5:$D$200,MATCH(B185,Inventario!$A$5:$A$200,0)),0))</f>
        <v/>
      </c>
      <c r="F185" s="33">
        <f>IF(OR(B185="",D185=""),"",D185*E185)</f>
        <v/>
      </c>
      <c r="G185" s="32">
        <f>IF(A185="","",IFERROR(INDEX(Pedidos!$L$5:$L$300,MATCH(A185,Pedidos!$A$5:$A$300,0)),"Pedido no existe"))</f>
        <v/>
      </c>
    </row>
    <row r="186" ht="15" customHeight="1" s="19">
      <c r="A186" s="28" t="n"/>
      <c r="B186" s="28" t="n"/>
      <c r="C186" s="32">
        <f>IF(B186="","",IFERROR(INDEX(Inventario!$B$5:$B$200,MATCH(B186,Inventario!$A$5:$A$200,0)),"SKU no existe"))</f>
        <v/>
      </c>
      <c r="D186" s="28" t="n"/>
      <c r="E186" s="33">
        <f>IF(B186="","",IFERROR(INDEX(Inventario!$D$5:$D$200,MATCH(B186,Inventario!$A$5:$A$200,0)),0))</f>
        <v/>
      </c>
      <c r="F186" s="33">
        <f>IF(OR(B186="",D186=""),"",D186*E186)</f>
        <v/>
      </c>
      <c r="G186" s="32">
        <f>IF(A186="","",IFERROR(INDEX(Pedidos!$L$5:$L$300,MATCH(A186,Pedidos!$A$5:$A$300,0)),"Pedido no existe"))</f>
        <v/>
      </c>
    </row>
    <row r="187" ht="15" customHeight="1" s="19">
      <c r="A187" s="28" t="n"/>
      <c r="B187" s="28" t="n"/>
      <c r="C187" s="32">
        <f>IF(B187="","",IFERROR(INDEX(Inventario!$B$5:$B$200,MATCH(B187,Inventario!$A$5:$A$200,0)),"SKU no existe"))</f>
        <v/>
      </c>
      <c r="D187" s="28" t="n"/>
      <c r="E187" s="33">
        <f>IF(B187="","",IFERROR(INDEX(Inventario!$D$5:$D$200,MATCH(B187,Inventario!$A$5:$A$200,0)),0))</f>
        <v/>
      </c>
      <c r="F187" s="33">
        <f>IF(OR(B187="",D187=""),"",D187*E187)</f>
        <v/>
      </c>
      <c r="G187" s="32">
        <f>IF(A187="","",IFERROR(INDEX(Pedidos!$L$5:$L$300,MATCH(A187,Pedidos!$A$5:$A$300,0)),"Pedido no existe"))</f>
        <v/>
      </c>
    </row>
    <row r="188" ht="15" customHeight="1" s="19">
      <c r="A188" s="28" t="n"/>
      <c r="B188" s="28" t="n"/>
      <c r="C188" s="32">
        <f>IF(B188="","",IFERROR(INDEX(Inventario!$B$5:$B$200,MATCH(B188,Inventario!$A$5:$A$200,0)),"SKU no existe"))</f>
        <v/>
      </c>
      <c r="D188" s="28" t="n"/>
      <c r="E188" s="33">
        <f>IF(B188="","",IFERROR(INDEX(Inventario!$D$5:$D$200,MATCH(B188,Inventario!$A$5:$A$200,0)),0))</f>
        <v/>
      </c>
      <c r="F188" s="33">
        <f>IF(OR(B188="",D188=""),"",D188*E188)</f>
        <v/>
      </c>
      <c r="G188" s="32">
        <f>IF(A188="","",IFERROR(INDEX(Pedidos!$L$5:$L$300,MATCH(A188,Pedidos!$A$5:$A$300,0)),"Pedido no existe"))</f>
        <v/>
      </c>
    </row>
    <row r="189" ht="15" customHeight="1" s="19">
      <c r="A189" s="28" t="n"/>
      <c r="B189" s="28" t="n"/>
      <c r="C189" s="32">
        <f>IF(B189="","",IFERROR(INDEX(Inventario!$B$5:$B$200,MATCH(B189,Inventario!$A$5:$A$200,0)),"SKU no existe"))</f>
        <v/>
      </c>
      <c r="D189" s="28" t="n"/>
      <c r="E189" s="33">
        <f>IF(B189="","",IFERROR(INDEX(Inventario!$D$5:$D$200,MATCH(B189,Inventario!$A$5:$A$200,0)),0))</f>
        <v/>
      </c>
      <c r="F189" s="33">
        <f>IF(OR(B189="",D189=""),"",D189*E189)</f>
        <v/>
      </c>
      <c r="G189" s="32">
        <f>IF(A189="","",IFERROR(INDEX(Pedidos!$L$5:$L$300,MATCH(A189,Pedidos!$A$5:$A$300,0)),"Pedido no existe"))</f>
        <v/>
      </c>
    </row>
    <row r="190" ht="15" customHeight="1" s="19">
      <c r="A190" s="28" t="n"/>
      <c r="B190" s="28" t="n"/>
      <c r="C190" s="32">
        <f>IF(B190="","",IFERROR(INDEX(Inventario!$B$5:$B$200,MATCH(B190,Inventario!$A$5:$A$200,0)),"SKU no existe"))</f>
        <v/>
      </c>
      <c r="D190" s="28" t="n"/>
      <c r="E190" s="33">
        <f>IF(B190="","",IFERROR(INDEX(Inventario!$D$5:$D$200,MATCH(B190,Inventario!$A$5:$A$200,0)),0))</f>
        <v/>
      </c>
      <c r="F190" s="33">
        <f>IF(OR(B190="",D190=""),"",D190*E190)</f>
        <v/>
      </c>
      <c r="G190" s="32">
        <f>IF(A190="","",IFERROR(INDEX(Pedidos!$L$5:$L$300,MATCH(A190,Pedidos!$A$5:$A$300,0)),"Pedido no existe"))</f>
        <v/>
      </c>
    </row>
    <row r="191" ht="15" customHeight="1" s="19">
      <c r="A191" s="28" t="n"/>
      <c r="B191" s="28" t="n"/>
      <c r="C191" s="32">
        <f>IF(B191="","",IFERROR(INDEX(Inventario!$B$5:$B$200,MATCH(B191,Inventario!$A$5:$A$200,0)),"SKU no existe"))</f>
        <v/>
      </c>
      <c r="D191" s="28" t="n"/>
      <c r="E191" s="33">
        <f>IF(B191="","",IFERROR(INDEX(Inventario!$D$5:$D$200,MATCH(B191,Inventario!$A$5:$A$200,0)),0))</f>
        <v/>
      </c>
      <c r="F191" s="33">
        <f>IF(OR(B191="",D191=""),"",D191*E191)</f>
        <v/>
      </c>
      <c r="G191" s="32">
        <f>IF(A191="","",IFERROR(INDEX(Pedidos!$L$5:$L$300,MATCH(A191,Pedidos!$A$5:$A$300,0)),"Pedido no existe"))</f>
        <v/>
      </c>
    </row>
    <row r="192" ht="15" customHeight="1" s="19">
      <c r="A192" s="28" t="n"/>
      <c r="B192" s="28" t="n"/>
      <c r="C192" s="32">
        <f>IF(B192="","",IFERROR(INDEX(Inventario!$B$5:$B$200,MATCH(B192,Inventario!$A$5:$A$200,0)),"SKU no existe"))</f>
        <v/>
      </c>
      <c r="D192" s="28" t="n"/>
      <c r="E192" s="33">
        <f>IF(B192="","",IFERROR(INDEX(Inventario!$D$5:$D$200,MATCH(B192,Inventario!$A$5:$A$200,0)),0))</f>
        <v/>
      </c>
      <c r="F192" s="33">
        <f>IF(OR(B192="",D192=""),"",D192*E192)</f>
        <v/>
      </c>
      <c r="G192" s="32">
        <f>IF(A192="","",IFERROR(INDEX(Pedidos!$L$5:$L$300,MATCH(A192,Pedidos!$A$5:$A$300,0)),"Pedido no existe"))</f>
        <v/>
      </c>
    </row>
    <row r="193" ht="15" customHeight="1" s="19">
      <c r="A193" s="28" t="n"/>
      <c r="B193" s="28" t="n"/>
      <c r="C193" s="32">
        <f>IF(B193="","",IFERROR(INDEX(Inventario!$B$5:$B$200,MATCH(B193,Inventario!$A$5:$A$200,0)),"SKU no existe"))</f>
        <v/>
      </c>
      <c r="D193" s="28" t="n"/>
      <c r="E193" s="33">
        <f>IF(B193="","",IFERROR(INDEX(Inventario!$D$5:$D$200,MATCH(B193,Inventario!$A$5:$A$200,0)),0))</f>
        <v/>
      </c>
      <c r="F193" s="33">
        <f>IF(OR(B193="",D193=""),"",D193*E193)</f>
        <v/>
      </c>
      <c r="G193" s="32">
        <f>IF(A193="","",IFERROR(INDEX(Pedidos!$L$5:$L$300,MATCH(A193,Pedidos!$A$5:$A$300,0)),"Pedido no existe"))</f>
        <v/>
      </c>
    </row>
    <row r="194" ht="15" customHeight="1" s="19">
      <c r="A194" s="28" t="n"/>
      <c r="B194" s="28" t="n"/>
      <c r="C194" s="32">
        <f>IF(B194="","",IFERROR(INDEX(Inventario!$B$5:$B$200,MATCH(B194,Inventario!$A$5:$A$200,0)),"SKU no existe"))</f>
        <v/>
      </c>
      <c r="D194" s="28" t="n"/>
      <c r="E194" s="33">
        <f>IF(B194="","",IFERROR(INDEX(Inventario!$D$5:$D$200,MATCH(B194,Inventario!$A$5:$A$200,0)),0))</f>
        <v/>
      </c>
      <c r="F194" s="33">
        <f>IF(OR(B194="",D194=""),"",D194*E194)</f>
        <v/>
      </c>
      <c r="G194" s="32">
        <f>IF(A194="","",IFERROR(INDEX(Pedidos!$L$5:$L$300,MATCH(A194,Pedidos!$A$5:$A$300,0)),"Pedido no existe"))</f>
        <v/>
      </c>
    </row>
    <row r="195" ht="15" customHeight="1" s="19">
      <c r="A195" s="28" t="n"/>
      <c r="B195" s="28" t="n"/>
      <c r="C195" s="32">
        <f>IF(B195="","",IFERROR(INDEX(Inventario!$B$5:$B$200,MATCH(B195,Inventario!$A$5:$A$200,0)),"SKU no existe"))</f>
        <v/>
      </c>
      <c r="D195" s="28" t="n"/>
      <c r="E195" s="33">
        <f>IF(B195="","",IFERROR(INDEX(Inventario!$D$5:$D$200,MATCH(B195,Inventario!$A$5:$A$200,0)),0))</f>
        <v/>
      </c>
      <c r="F195" s="33">
        <f>IF(OR(B195="",D195=""),"",D195*E195)</f>
        <v/>
      </c>
      <c r="G195" s="32">
        <f>IF(A195="","",IFERROR(INDEX(Pedidos!$L$5:$L$300,MATCH(A195,Pedidos!$A$5:$A$300,0)),"Pedido no existe"))</f>
        <v/>
      </c>
    </row>
    <row r="196" ht="15" customHeight="1" s="19">
      <c r="A196" s="28" t="n"/>
      <c r="B196" s="28" t="n"/>
      <c r="C196" s="32">
        <f>IF(B196="","",IFERROR(INDEX(Inventario!$B$5:$B$200,MATCH(B196,Inventario!$A$5:$A$200,0)),"SKU no existe"))</f>
        <v/>
      </c>
      <c r="D196" s="28" t="n"/>
      <c r="E196" s="33">
        <f>IF(B196="","",IFERROR(INDEX(Inventario!$D$5:$D$200,MATCH(B196,Inventario!$A$5:$A$200,0)),0))</f>
        <v/>
      </c>
      <c r="F196" s="33">
        <f>IF(OR(B196="",D196=""),"",D196*E196)</f>
        <v/>
      </c>
      <c r="G196" s="32">
        <f>IF(A196="","",IFERROR(INDEX(Pedidos!$L$5:$L$300,MATCH(A196,Pedidos!$A$5:$A$300,0)),"Pedido no existe"))</f>
        <v/>
      </c>
    </row>
    <row r="197" ht="15" customHeight="1" s="19">
      <c r="A197" s="28" t="n"/>
      <c r="B197" s="28" t="n"/>
      <c r="C197" s="32">
        <f>IF(B197="","",IFERROR(INDEX(Inventario!$B$5:$B$200,MATCH(B197,Inventario!$A$5:$A$200,0)),"SKU no existe"))</f>
        <v/>
      </c>
      <c r="D197" s="28" t="n"/>
      <c r="E197" s="33">
        <f>IF(B197="","",IFERROR(INDEX(Inventario!$D$5:$D$200,MATCH(B197,Inventario!$A$5:$A$200,0)),0))</f>
        <v/>
      </c>
      <c r="F197" s="33">
        <f>IF(OR(B197="",D197=""),"",D197*E197)</f>
        <v/>
      </c>
      <c r="G197" s="32">
        <f>IF(A197="","",IFERROR(INDEX(Pedidos!$L$5:$L$300,MATCH(A197,Pedidos!$A$5:$A$300,0)),"Pedido no existe"))</f>
        <v/>
      </c>
    </row>
    <row r="198" ht="15" customHeight="1" s="19">
      <c r="A198" s="28" t="n"/>
      <c r="B198" s="28" t="n"/>
      <c r="C198" s="32">
        <f>IF(B198="","",IFERROR(INDEX(Inventario!$B$5:$B$200,MATCH(B198,Inventario!$A$5:$A$200,0)),"SKU no existe"))</f>
        <v/>
      </c>
      <c r="D198" s="28" t="n"/>
      <c r="E198" s="33">
        <f>IF(B198="","",IFERROR(INDEX(Inventario!$D$5:$D$200,MATCH(B198,Inventario!$A$5:$A$200,0)),0))</f>
        <v/>
      </c>
      <c r="F198" s="33">
        <f>IF(OR(B198="",D198=""),"",D198*E198)</f>
        <v/>
      </c>
      <c r="G198" s="32">
        <f>IF(A198="","",IFERROR(INDEX(Pedidos!$L$5:$L$300,MATCH(A198,Pedidos!$A$5:$A$300,0)),"Pedido no existe"))</f>
        <v/>
      </c>
    </row>
    <row r="199" ht="15" customHeight="1" s="19">
      <c r="A199" s="28" t="n"/>
      <c r="B199" s="28" t="n"/>
      <c r="C199" s="32">
        <f>IF(B199="","",IFERROR(INDEX(Inventario!$B$5:$B$200,MATCH(B199,Inventario!$A$5:$A$200,0)),"SKU no existe"))</f>
        <v/>
      </c>
      <c r="D199" s="28" t="n"/>
      <c r="E199" s="33">
        <f>IF(B199="","",IFERROR(INDEX(Inventario!$D$5:$D$200,MATCH(B199,Inventario!$A$5:$A$200,0)),0))</f>
        <v/>
      </c>
      <c r="F199" s="33">
        <f>IF(OR(B199="",D199=""),"",D199*E199)</f>
        <v/>
      </c>
      <c r="G199" s="32">
        <f>IF(A199="","",IFERROR(INDEX(Pedidos!$L$5:$L$300,MATCH(A199,Pedidos!$A$5:$A$300,0)),"Pedido no existe"))</f>
        <v/>
      </c>
    </row>
    <row r="200" ht="15" customHeight="1" s="19">
      <c r="A200" s="28" t="n"/>
      <c r="B200" s="28" t="n"/>
      <c r="C200" s="32">
        <f>IF(B200="","",IFERROR(INDEX(Inventario!$B$5:$B$200,MATCH(B200,Inventario!$A$5:$A$200,0)),"SKU no existe"))</f>
        <v/>
      </c>
      <c r="D200" s="28" t="n"/>
      <c r="E200" s="33">
        <f>IF(B200="","",IFERROR(INDEX(Inventario!$D$5:$D$200,MATCH(B200,Inventario!$A$5:$A$200,0)),0))</f>
        <v/>
      </c>
      <c r="F200" s="33">
        <f>IF(OR(B200="",D200=""),"",D200*E200)</f>
        <v/>
      </c>
      <c r="G200" s="32">
        <f>IF(A200="","",IFERROR(INDEX(Pedidos!$L$5:$L$300,MATCH(A200,Pedidos!$A$5:$A$300,0)),"Pedido no existe"))</f>
        <v/>
      </c>
    </row>
    <row r="201" ht="15" customHeight="1" s="19">
      <c r="A201" s="28" t="n"/>
      <c r="B201" s="28" t="n"/>
      <c r="C201" s="32">
        <f>IF(B201="","",IFERROR(INDEX(Inventario!$B$5:$B$200,MATCH(B201,Inventario!$A$5:$A$200,0)),"SKU no existe"))</f>
        <v/>
      </c>
      <c r="D201" s="28" t="n"/>
      <c r="E201" s="33">
        <f>IF(B201="","",IFERROR(INDEX(Inventario!$D$5:$D$200,MATCH(B201,Inventario!$A$5:$A$200,0)),0))</f>
        <v/>
      </c>
      <c r="F201" s="33">
        <f>IF(OR(B201="",D201=""),"",D201*E201)</f>
        <v/>
      </c>
      <c r="G201" s="32">
        <f>IF(A201="","",IFERROR(INDEX(Pedidos!$L$5:$L$300,MATCH(A201,Pedidos!$A$5:$A$300,0)),"Pedido no existe"))</f>
        <v/>
      </c>
    </row>
    <row r="202" ht="15" customHeight="1" s="19">
      <c r="A202" s="28" t="n"/>
      <c r="B202" s="28" t="n"/>
      <c r="C202" s="32">
        <f>IF(B202="","",IFERROR(INDEX(Inventario!$B$5:$B$200,MATCH(B202,Inventario!$A$5:$A$200,0)),"SKU no existe"))</f>
        <v/>
      </c>
      <c r="D202" s="28" t="n"/>
      <c r="E202" s="33">
        <f>IF(B202="","",IFERROR(INDEX(Inventario!$D$5:$D$200,MATCH(B202,Inventario!$A$5:$A$200,0)),0))</f>
        <v/>
      </c>
      <c r="F202" s="33">
        <f>IF(OR(B202="",D202=""),"",D202*E202)</f>
        <v/>
      </c>
      <c r="G202" s="32">
        <f>IF(A202="","",IFERROR(INDEX(Pedidos!$L$5:$L$300,MATCH(A202,Pedidos!$A$5:$A$300,0)),"Pedido no existe"))</f>
        <v/>
      </c>
    </row>
    <row r="203" ht="15" customHeight="1" s="19">
      <c r="A203" s="28" t="n"/>
      <c r="B203" s="28" t="n"/>
      <c r="C203" s="32">
        <f>IF(B203="","",IFERROR(INDEX(Inventario!$B$5:$B$200,MATCH(B203,Inventario!$A$5:$A$200,0)),"SKU no existe"))</f>
        <v/>
      </c>
      <c r="D203" s="28" t="n"/>
      <c r="E203" s="33">
        <f>IF(B203="","",IFERROR(INDEX(Inventario!$D$5:$D$200,MATCH(B203,Inventario!$A$5:$A$200,0)),0))</f>
        <v/>
      </c>
      <c r="F203" s="33">
        <f>IF(OR(B203="",D203=""),"",D203*E203)</f>
        <v/>
      </c>
      <c r="G203" s="32">
        <f>IF(A203="","",IFERROR(INDEX(Pedidos!$L$5:$L$300,MATCH(A203,Pedidos!$A$5:$A$300,0)),"Pedido no existe"))</f>
        <v/>
      </c>
    </row>
    <row r="204" ht="15" customHeight="1" s="19">
      <c r="A204" s="28" t="n"/>
      <c r="B204" s="28" t="n"/>
      <c r="C204" s="32">
        <f>IF(B204="","",IFERROR(INDEX(Inventario!$B$5:$B$200,MATCH(B204,Inventario!$A$5:$A$200,0)),"SKU no existe"))</f>
        <v/>
      </c>
      <c r="D204" s="28" t="n"/>
      <c r="E204" s="33">
        <f>IF(B204="","",IFERROR(INDEX(Inventario!$D$5:$D$200,MATCH(B204,Inventario!$A$5:$A$200,0)),0))</f>
        <v/>
      </c>
      <c r="F204" s="33">
        <f>IF(OR(B204="",D204=""),"",D204*E204)</f>
        <v/>
      </c>
      <c r="G204" s="32">
        <f>IF(A204="","",IFERROR(INDEX(Pedidos!$L$5:$L$300,MATCH(A204,Pedidos!$A$5:$A$300,0)),"Pedido no existe"))</f>
        <v/>
      </c>
    </row>
    <row r="205" ht="15" customHeight="1" s="19">
      <c r="A205" s="28" t="n"/>
      <c r="B205" s="28" t="n"/>
      <c r="C205" s="32">
        <f>IF(B205="","",IFERROR(INDEX(Inventario!$B$5:$B$200,MATCH(B205,Inventario!$A$5:$A$200,0)),"SKU no existe"))</f>
        <v/>
      </c>
      <c r="D205" s="28" t="n"/>
      <c r="E205" s="33">
        <f>IF(B205="","",IFERROR(INDEX(Inventario!$D$5:$D$200,MATCH(B205,Inventario!$A$5:$A$200,0)),0))</f>
        <v/>
      </c>
      <c r="F205" s="33">
        <f>IF(OR(B205="",D205=""),"",D205*E205)</f>
        <v/>
      </c>
      <c r="G205" s="32">
        <f>IF(A205="","",IFERROR(INDEX(Pedidos!$L$5:$L$300,MATCH(A205,Pedidos!$A$5:$A$300,0)),"Pedido no existe"))</f>
        <v/>
      </c>
    </row>
    <row r="206" ht="15" customHeight="1" s="19">
      <c r="A206" s="28" t="n"/>
      <c r="B206" s="28" t="n"/>
      <c r="C206" s="32">
        <f>IF(B206="","",IFERROR(INDEX(Inventario!$B$5:$B$200,MATCH(B206,Inventario!$A$5:$A$200,0)),"SKU no existe"))</f>
        <v/>
      </c>
      <c r="D206" s="28" t="n"/>
      <c r="E206" s="33">
        <f>IF(B206="","",IFERROR(INDEX(Inventario!$D$5:$D$200,MATCH(B206,Inventario!$A$5:$A$200,0)),0))</f>
        <v/>
      </c>
      <c r="F206" s="33">
        <f>IF(OR(B206="",D206=""),"",D206*E206)</f>
        <v/>
      </c>
      <c r="G206" s="32">
        <f>IF(A206="","",IFERROR(INDEX(Pedidos!$L$5:$L$300,MATCH(A206,Pedidos!$A$5:$A$300,0)),"Pedido no existe"))</f>
        <v/>
      </c>
    </row>
    <row r="207" ht="15" customHeight="1" s="19">
      <c r="A207" s="28" t="n"/>
      <c r="B207" s="28" t="n"/>
      <c r="C207" s="32">
        <f>IF(B207="","",IFERROR(INDEX(Inventario!$B$5:$B$200,MATCH(B207,Inventario!$A$5:$A$200,0)),"SKU no existe"))</f>
        <v/>
      </c>
      <c r="D207" s="28" t="n"/>
      <c r="E207" s="33">
        <f>IF(B207="","",IFERROR(INDEX(Inventario!$D$5:$D$200,MATCH(B207,Inventario!$A$5:$A$200,0)),0))</f>
        <v/>
      </c>
      <c r="F207" s="33">
        <f>IF(OR(B207="",D207=""),"",D207*E207)</f>
        <v/>
      </c>
      <c r="G207" s="32">
        <f>IF(A207="","",IFERROR(INDEX(Pedidos!$L$5:$L$300,MATCH(A207,Pedidos!$A$5:$A$300,0)),"Pedido no existe"))</f>
        <v/>
      </c>
    </row>
    <row r="208" ht="15" customHeight="1" s="19">
      <c r="A208" s="28" t="n"/>
      <c r="B208" s="28" t="n"/>
      <c r="C208" s="32">
        <f>IF(B208="","",IFERROR(INDEX(Inventario!$B$5:$B$200,MATCH(B208,Inventario!$A$5:$A$200,0)),"SKU no existe"))</f>
        <v/>
      </c>
      <c r="D208" s="28" t="n"/>
      <c r="E208" s="33">
        <f>IF(B208="","",IFERROR(INDEX(Inventario!$D$5:$D$200,MATCH(B208,Inventario!$A$5:$A$200,0)),0))</f>
        <v/>
      </c>
      <c r="F208" s="33">
        <f>IF(OR(B208="",D208=""),"",D208*E208)</f>
        <v/>
      </c>
      <c r="G208" s="32">
        <f>IF(A208="","",IFERROR(INDEX(Pedidos!$L$5:$L$300,MATCH(A208,Pedidos!$A$5:$A$300,0)),"Pedido no existe"))</f>
        <v/>
      </c>
    </row>
    <row r="209" ht="15" customHeight="1" s="19">
      <c r="A209" s="28" t="n"/>
      <c r="B209" s="28" t="n"/>
      <c r="C209" s="32">
        <f>IF(B209="","",IFERROR(INDEX(Inventario!$B$5:$B$200,MATCH(B209,Inventario!$A$5:$A$200,0)),"SKU no existe"))</f>
        <v/>
      </c>
      <c r="D209" s="28" t="n"/>
      <c r="E209" s="33">
        <f>IF(B209="","",IFERROR(INDEX(Inventario!$D$5:$D$200,MATCH(B209,Inventario!$A$5:$A$200,0)),0))</f>
        <v/>
      </c>
      <c r="F209" s="33">
        <f>IF(OR(B209="",D209=""),"",D209*E209)</f>
        <v/>
      </c>
      <c r="G209" s="32">
        <f>IF(A209="","",IFERROR(INDEX(Pedidos!$L$5:$L$300,MATCH(A209,Pedidos!$A$5:$A$300,0)),"Pedido no existe"))</f>
        <v/>
      </c>
    </row>
    <row r="210" ht="15" customHeight="1" s="19">
      <c r="A210" s="28" t="n"/>
      <c r="B210" s="28" t="n"/>
      <c r="C210" s="32">
        <f>IF(B210="","",IFERROR(INDEX(Inventario!$B$5:$B$200,MATCH(B210,Inventario!$A$5:$A$200,0)),"SKU no existe"))</f>
        <v/>
      </c>
      <c r="D210" s="28" t="n"/>
      <c r="E210" s="33">
        <f>IF(B210="","",IFERROR(INDEX(Inventario!$D$5:$D$200,MATCH(B210,Inventario!$A$5:$A$200,0)),0))</f>
        <v/>
      </c>
      <c r="F210" s="33">
        <f>IF(OR(B210="",D210=""),"",D210*E210)</f>
        <v/>
      </c>
      <c r="G210" s="32">
        <f>IF(A210="","",IFERROR(INDEX(Pedidos!$L$5:$L$300,MATCH(A210,Pedidos!$A$5:$A$300,0)),"Pedido no existe"))</f>
        <v/>
      </c>
    </row>
    <row r="211" ht="15" customHeight="1" s="19">
      <c r="A211" s="28" t="n"/>
      <c r="B211" s="28" t="n"/>
      <c r="C211" s="32">
        <f>IF(B211="","",IFERROR(INDEX(Inventario!$B$5:$B$200,MATCH(B211,Inventario!$A$5:$A$200,0)),"SKU no existe"))</f>
        <v/>
      </c>
      <c r="D211" s="28" t="n"/>
      <c r="E211" s="33">
        <f>IF(B211="","",IFERROR(INDEX(Inventario!$D$5:$D$200,MATCH(B211,Inventario!$A$5:$A$200,0)),0))</f>
        <v/>
      </c>
      <c r="F211" s="33">
        <f>IF(OR(B211="",D211=""),"",D211*E211)</f>
        <v/>
      </c>
      <c r="G211" s="32">
        <f>IF(A211="","",IFERROR(INDEX(Pedidos!$L$5:$L$300,MATCH(A211,Pedidos!$A$5:$A$300,0)),"Pedido no existe"))</f>
        <v/>
      </c>
    </row>
    <row r="212" ht="15" customHeight="1" s="19">
      <c r="A212" s="28" t="n"/>
      <c r="B212" s="28" t="n"/>
      <c r="C212" s="32">
        <f>IF(B212="","",IFERROR(INDEX(Inventario!$B$5:$B$200,MATCH(B212,Inventario!$A$5:$A$200,0)),"SKU no existe"))</f>
        <v/>
      </c>
      <c r="D212" s="28" t="n"/>
      <c r="E212" s="33">
        <f>IF(B212="","",IFERROR(INDEX(Inventario!$D$5:$D$200,MATCH(B212,Inventario!$A$5:$A$200,0)),0))</f>
        <v/>
      </c>
      <c r="F212" s="33">
        <f>IF(OR(B212="",D212=""),"",D212*E212)</f>
        <v/>
      </c>
      <c r="G212" s="32">
        <f>IF(A212="","",IFERROR(INDEX(Pedidos!$L$5:$L$300,MATCH(A212,Pedidos!$A$5:$A$300,0)),"Pedido no existe"))</f>
        <v/>
      </c>
    </row>
    <row r="213" ht="15" customHeight="1" s="19">
      <c r="A213" s="28" t="n"/>
      <c r="B213" s="28" t="n"/>
      <c r="C213" s="32">
        <f>IF(B213="","",IFERROR(INDEX(Inventario!$B$5:$B$200,MATCH(B213,Inventario!$A$5:$A$200,0)),"SKU no existe"))</f>
        <v/>
      </c>
      <c r="D213" s="28" t="n"/>
      <c r="E213" s="33">
        <f>IF(B213="","",IFERROR(INDEX(Inventario!$D$5:$D$200,MATCH(B213,Inventario!$A$5:$A$200,0)),0))</f>
        <v/>
      </c>
      <c r="F213" s="33">
        <f>IF(OR(B213="",D213=""),"",D213*E213)</f>
        <v/>
      </c>
      <c r="G213" s="32">
        <f>IF(A213="","",IFERROR(INDEX(Pedidos!$L$5:$L$300,MATCH(A213,Pedidos!$A$5:$A$300,0)),"Pedido no existe"))</f>
        <v/>
      </c>
    </row>
    <row r="214" ht="15" customHeight="1" s="19">
      <c r="A214" s="28" t="n"/>
      <c r="B214" s="28" t="n"/>
      <c r="C214" s="32">
        <f>IF(B214="","",IFERROR(INDEX(Inventario!$B$5:$B$200,MATCH(B214,Inventario!$A$5:$A$200,0)),"SKU no existe"))</f>
        <v/>
      </c>
      <c r="D214" s="28" t="n"/>
      <c r="E214" s="33">
        <f>IF(B214="","",IFERROR(INDEX(Inventario!$D$5:$D$200,MATCH(B214,Inventario!$A$5:$A$200,0)),0))</f>
        <v/>
      </c>
      <c r="F214" s="33">
        <f>IF(OR(B214="",D214=""),"",D214*E214)</f>
        <v/>
      </c>
      <c r="G214" s="32">
        <f>IF(A214="","",IFERROR(INDEX(Pedidos!$L$5:$L$300,MATCH(A214,Pedidos!$A$5:$A$300,0)),"Pedido no existe"))</f>
        <v/>
      </c>
    </row>
    <row r="215" ht="15" customHeight="1" s="19">
      <c r="A215" s="28" t="n"/>
      <c r="B215" s="28" t="n"/>
      <c r="C215" s="32">
        <f>IF(B215="","",IFERROR(INDEX(Inventario!$B$5:$B$200,MATCH(B215,Inventario!$A$5:$A$200,0)),"SKU no existe"))</f>
        <v/>
      </c>
      <c r="D215" s="28" t="n"/>
      <c r="E215" s="33">
        <f>IF(B215="","",IFERROR(INDEX(Inventario!$D$5:$D$200,MATCH(B215,Inventario!$A$5:$A$200,0)),0))</f>
        <v/>
      </c>
      <c r="F215" s="33">
        <f>IF(OR(B215="",D215=""),"",D215*E215)</f>
        <v/>
      </c>
      <c r="G215" s="32">
        <f>IF(A215="","",IFERROR(INDEX(Pedidos!$L$5:$L$300,MATCH(A215,Pedidos!$A$5:$A$300,0)),"Pedido no existe"))</f>
        <v/>
      </c>
    </row>
    <row r="216" ht="15" customHeight="1" s="19">
      <c r="A216" s="28" t="n"/>
      <c r="B216" s="28" t="n"/>
      <c r="C216" s="32">
        <f>IF(B216="","",IFERROR(INDEX(Inventario!$B$5:$B$200,MATCH(B216,Inventario!$A$5:$A$200,0)),"SKU no existe"))</f>
        <v/>
      </c>
      <c r="D216" s="28" t="n"/>
      <c r="E216" s="33">
        <f>IF(B216="","",IFERROR(INDEX(Inventario!$D$5:$D$200,MATCH(B216,Inventario!$A$5:$A$200,0)),0))</f>
        <v/>
      </c>
      <c r="F216" s="33">
        <f>IF(OR(B216="",D216=""),"",D216*E216)</f>
        <v/>
      </c>
      <c r="G216" s="32">
        <f>IF(A216="","",IFERROR(INDEX(Pedidos!$L$5:$L$300,MATCH(A216,Pedidos!$A$5:$A$300,0)),"Pedido no existe"))</f>
        <v/>
      </c>
    </row>
    <row r="217" ht="15" customHeight="1" s="19">
      <c r="A217" s="28" t="n"/>
      <c r="B217" s="28" t="n"/>
      <c r="C217" s="32">
        <f>IF(B217="","",IFERROR(INDEX(Inventario!$B$5:$B$200,MATCH(B217,Inventario!$A$5:$A$200,0)),"SKU no existe"))</f>
        <v/>
      </c>
      <c r="D217" s="28" t="n"/>
      <c r="E217" s="33">
        <f>IF(B217="","",IFERROR(INDEX(Inventario!$D$5:$D$200,MATCH(B217,Inventario!$A$5:$A$200,0)),0))</f>
        <v/>
      </c>
      <c r="F217" s="33">
        <f>IF(OR(B217="",D217=""),"",D217*E217)</f>
        <v/>
      </c>
      <c r="G217" s="32">
        <f>IF(A217="","",IFERROR(INDEX(Pedidos!$L$5:$L$300,MATCH(A217,Pedidos!$A$5:$A$300,0)),"Pedido no existe"))</f>
        <v/>
      </c>
    </row>
    <row r="218" ht="15" customHeight="1" s="19">
      <c r="A218" s="28" t="n"/>
      <c r="B218" s="28" t="n"/>
      <c r="C218" s="32">
        <f>IF(B218="","",IFERROR(INDEX(Inventario!$B$5:$B$200,MATCH(B218,Inventario!$A$5:$A$200,0)),"SKU no existe"))</f>
        <v/>
      </c>
      <c r="D218" s="28" t="n"/>
      <c r="E218" s="33">
        <f>IF(B218="","",IFERROR(INDEX(Inventario!$D$5:$D$200,MATCH(B218,Inventario!$A$5:$A$200,0)),0))</f>
        <v/>
      </c>
      <c r="F218" s="33">
        <f>IF(OR(B218="",D218=""),"",D218*E218)</f>
        <v/>
      </c>
      <c r="G218" s="32">
        <f>IF(A218="","",IFERROR(INDEX(Pedidos!$L$5:$L$300,MATCH(A218,Pedidos!$A$5:$A$300,0)),"Pedido no existe"))</f>
        <v/>
      </c>
    </row>
    <row r="219" ht="15" customHeight="1" s="19">
      <c r="A219" s="28" t="n"/>
      <c r="B219" s="28" t="n"/>
      <c r="C219" s="32">
        <f>IF(B219="","",IFERROR(INDEX(Inventario!$B$5:$B$200,MATCH(B219,Inventario!$A$5:$A$200,0)),"SKU no existe"))</f>
        <v/>
      </c>
      <c r="D219" s="28" t="n"/>
      <c r="E219" s="33">
        <f>IF(B219="","",IFERROR(INDEX(Inventario!$D$5:$D$200,MATCH(B219,Inventario!$A$5:$A$200,0)),0))</f>
        <v/>
      </c>
      <c r="F219" s="33">
        <f>IF(OR(B219="",D219=""),"",D219*E219)</f>
        <v/>
      </c>
      <c r="G219" s="32">
        <f>IF(A219="","",IFERROR(INDEX(Pedidos!$L$5:$L$300,MATCH(A219,Pedidos!$A$5:$A$300,0)),"Pedido no existe"))</f>
        <v/>
      </c>
    </row>
    <row r="220" ht="15" customHeight="1" s="19">
      <c r="A220" s="28" t="n"/>
      <c r="B220" s="28" t="n"/>
      <c r="C220" s="32">
        <f>IF(B220="","",IFERROR(INDEX(Inventario!$B$5:$B$200,MATCH(B220,Inventario!$A$5:$A$200,0)),"SKU no existe"))</f>
        <v/>
      </c>
      <c r="D220" s="28" t="n"/>
      <c r="E220" s="33">
        <f>IF(B220="","",IFERROR(INDEX(Inventario!$D$5:$D$200,MATCH(B220,Inventario!$A$5:$A$200,0)),0))</f>
        <v/>
      </c>
      <c r="F220" s="33">
        <f>IF(OR(B220="",D220=""),"",D220*E220)</f>
        <v/>
      </c>
      <c r="G220" s="32">
        <f>IF(A220="","",IFERROR(INDEX(Pedidos!$L$5:$L$300,MATCH(A220,Pedidos!$A$5:$A$300,0)),"Pedido no existe"))</f>
        <v/>
      </c>
    </row>
    <row r="221" ht="15" customHeight="1" s="19">
      <c r="A221" s="28" t="n"/>
      <c r="B221" s="28" t="n"/>
      <c r="C221" s="32">
        <f>IF(B221="","",IFERROR(INDEX(Inventario!$B$5:$B$200,MATCH(B221,Inventario!$A$5:$A$200,0)),"SKU no existe"))</f>
        <v/>
      </c>
      <c r="D221" s="28" t="n"/>
      <c r="E221" s="33">
        <f>IF(B221="","",IFERROR(INDEX(Inventario!$D$5:$D$200,MATCH(B221,Inventario!$A$5:$A$200,0)),0))</f>
        <v/>
      </c>
      <c r="F221" s="33">
        <f>IF(OR(B221="",D221=""),"",D221*E221)</f>
        <v/>
      </c>
      <c r="G221" s="32">
        <f>IF(A221="","",IFERROR(INDEX(Pedidos!$L$5:$L$300,MATCH(A221,Pedidos!$A$5:$A$300,0)),"Pedido no existe"))</f>
        <v/>
      </c>
    </row>
    <row r="222" ht="15" customHeight="1" s="19">
      <c r="A222" s="28" t="n"/>
      <c r="B222" s="28" t="n"/>
      <c r="C222" s="32">
        <f>IF(B222="","",IFERROR(INDEX(Inventario!$B$5:$B$200,MATCH(B222,Inventario!$A$5:$A$200,0)),"SKU no existe"))</f>
        <v/>
      </c>
      <c r="D222" s="28" t="n"/>
      <c r="E222" s="33">
        <f>IF(B222="","",IFERROR(INDEX(Inventario!$D$5:$D$200,MATCH(B222,Inventario!$A$5:$A$200,0)),0))</f>
        <v/>
      </c>
      <c r="F222" s="33">
        <f>IF(OR(B222="",D222=""),"",D222*E222)</f>
        <v/>
      </c>
      <c r="G222" s="32">
        <f>IF(A222="","",IFERROR(INDEX(Pedidos!$L$5:$L$300,MATCH(A222,Pedidos!$A$5:$A$300,0)),"Pedido no existe"))</f>
        <v/>
      </c>
    </row>
    <row r="223" ht="15" customHeight="1" s="19">
      <c r="A223" s="28" t="n"/>
      <c r="B223" s="28" t="n"/>
      <c r="C223" s="32">
        <f>IF(B223="","",IFERROR(INDEX(Inventario!$B$5:$B$200,MATCH(B223,Inventario!$A$5:$A$200,0)),"SKU no existe"))</f>
        <v/>
      </c>
      <c r="D223" s="28" t="n"/>
      <c r="E223" s="33">
        <f>IF(B223="","",IFERROR(INDEX(Inventario!$D$5:$D$200,MATCH(B223,Inventario!$A$5:$A$200,0)),0))</f>
        <v/>
      </c>
      <c r="F223" s="33">
        <f>IF(OR(B223="",D223=""),"",D223*E223)</f>
        <v/>
      </c>
      <c r="G223" s="32">
        <f>IF(A223="","",IFERROR(INDEX(Pedidos!$L$5:$L$300,MATCH(A223,Pedidos!$A$5:$A$300,0)),"Pedido no existe"))</f>
        <v/>
      </c>
    </row>
    <row r="224" ht="15" customHeight="1" s="19">
      <c r="A224" s="28" t="n"/>
      <c r="B224" s="28" t="n"/>
      <c r="C224" s="32">
        <f>IF(B224="","",IFERROR(INDEX(Inventario!$B$5:$B$200,MATCH(B224,Inventario!$A$5:$A$200,0)),"SKU no existe"))</f>
        <v/>
      </c>
      <c r="D224" s="28" t="n"/>
      <c r="E224" s="33">
        <f>IF(B224="","",IFERROR(INDEX(Inventario!$D$5:$D$200,MATCH(B224,Inventario!$A$5:$A$200,0)),0))</f>
        <v/>
      </c>
      <c r="F224" s="33">
        <f>IF(OR(B224="",D224=""),"",D224*E224)</f>
        <v/>
      </c>
      <c r="G224" s="32">
        <f>IF(A224="","",IFERROR(INDEX(Pedidos!$L$5:$L$300,MATCH(A224,Pedidos!$A$5:$A$300,0)),"Pedido no existe"))</f>
        <v/>
      </c>
    </row>
    <row r="225" ht="15" customHeight="1" s="19">
      <c r="A225" s="28" t="n"/>
      <c r="B225" s="28" t="n"/>
      <c r="C225" s="32">
        <f>IF(B225="","",IFERROR(INDEX(Inventario!$B$5:$B$200,MATCH(B225,Inventario!$A$5:$A$200,0)),"SKU no existe"))</f>
        <v/>
      </c>
      <c r="D225" s="28" t="n"/>
      <c r="E225" s="33">
        <f>IF(B225="","",IFERROR(INDEX(Inventario!$D$5:$D$200,MATCH(B225,Inventario!$A$5:$A$200,0)),0))</f>
        <v/>
      </c>
      <c r="F225" s="33">
        <f>IF(OR(B225="",D225=""),"",D225*E225)</f>
        <v/>
      </c>
      <c r="G225" s="32">
        <f>IF(A225="","",IFERROR(INDEX(Pedidos!$L$5:$L$300,MATCH(A225,Pedidos!$A$5:$A$300,0)),"Pedido no existe"))</f>
        <v/>
      </c>
    </row>
    <row r="226" ht="15" customHeight="1" s="19">
      <c r="A226" s="28" t="n"/>
      <c r="B226" s="28" t="n"/>
      <c r="C226" s="32">
        <f>IF(B226="","",IFERROR(INDEX(Inventario!$B$5:$B$200,MATCH(B226,Inventario!$A$5:$A$200,0)),"SKU no existe"))</f>
        <v/>
      </c>
      <c r="D226" s="28" t="n"/>
      <c r="E226" s="33">
        <f>IF(B226="","",IFERROR(INDEX(Inventario!$D$5:$D$200,MATCH(B226,Inventario!$A$5:$A$200,0)),0))</f>
        <v/>
      </c>
      <c r="F226" s="33">
        <f>IF(OR(B226="",D226=""),"",D226*E226)</f>
        <v/>
      </c>
      <c r="G226" s="32">
        <f>IF(A226="","",IFERROR(INDEX(Pedidos!$L$5:$L$300,MATCH(A226,Pedidos!$A$5:$A$300,0)),"Pedido no existe"))</f>
        <v/>
      </c>
    </row>
    <row r="227" ht="15" customHeight="1" s="19">
      <c r="A227" s="28" t="n"/>
      <c r="B227" s="28" t="n"/>
      <c r="C227" s="32">
        <f>IF(B227="","",IFERROR(INDEX(Inventario!$B$5:$B$200,MATCH(B227,Inventario!$A$5:$A$200,0)),"SKU no existe"))</f>
        <v/>
      </c>
      <c r="D227" s="28" t="n"/>
      <c r="E227" s="33">
        <f>IF(B227="","",IFERROR(INDEX(Inventario!$D$5:$D$200,MATCH(B227,Inventario!$A$5:$A$200,0)),0))</f>
        <v/>
      </c>
      <c r="F227" s="33">
        <f>IF(OR(B227="",D227=""),"",D227*E227)</f>
        <v/>
      </c>
      <c r="G227" s="32">
        <f>IF(A227="","",IFERROR(INDEX(Pedidos!$L$5:$L$300,MATCH(A227,Pedidos!$A$5:$A$300,0)),"Pedido no existe"))</f>
        <v/>
      </c>
    </row>
    <row r="228" ht="15" customHeight="1" s="19">
      <c r="A228" s="28" t="n"/>
      <c r="B228" s="28" t="n"/>
      <c r="C228" s="32">
        <f>IF(B228="","",IFERROR(INDEX(Inventario!$B$5:$B$200,MATCH(B228,Inventario!$A$5:$A$200,0)),"SKU no existe"))</f>
        <v/>
      </c>
      <c r="D228" s="28" t="n"/>
      <c r="E228" s="33">
        <f>IF(B228="","",IFERROR(INDEX(Inventario!$D$5:$D$200,MATCH(B228,Inventario!$A$5:$A$200,0)),0))</f>
        <v/>
      </c>
      <c r="F228" s="33">
        <f>IF(OR(B228="",D228=""),"",D228*E228)</f>
        <v/>
      </c>
      <c r="G228" s="32">
        <f>IF(A228="","",IFERROR(INDEX(Pedidos!$L$5:$L$300,MATCH(A228,Pedidos!$A$5:$A$300,0)),"Pedido no existe"))</f>
        <v/>
      </c>
    </row>
    <row r="229" ht="15" customHeight="1" s="19">
      <c r="A229" s="28" t="n"/>
      <c r="B229" s="28" t="n"/>
      <c r="C229" s="32">
        <f>IF(B229="","",IFERROR(INDEX(Inventario!$B$5:$B$200,MATCH(B229,Inventario!$A$5:$A$200,0)),"SKU no existe"))</f>
        <v/>
      </c>
      <c r="D229" s="28" t="n"/>
      <c r="E229" s="33">
        <f>IF(B229="","",IFERROR(INDEX(Inventario!$D$5:$D$200,MATCH(B229,Inventario!$A$5:$A$200,0)),0))</f>
        <v/>
      </c>
      <c r="F229" s="33">
        <f>IF(OR(B229="",D229=""),"",D229*E229)</f>
        <v/>
      </c>
      <c r="G229" s="32">
        <f>IF(A229="","",IFERROR(INDEX(Pedidos!$L$5:$L$300,MATCH(A229,Pedidos!$A$5:$A$300,0)),"Pedido no existe"))</f>
        <v/>
      </c>
    </row>
    <row r="230" ht="15" customHeight="1" s="19">
      <c r="A230" s="28" t="n"/>
      <c r="B230" s="28" t="n"/>
      <c r="C230" s="32">
        <f>IF(B230="","",IFERROR(INDEX(Inventario!$B$5:$B$200,MATCH(B230,Inventario!$A$5:$A$200,0)),"SKU no existe"))</f>
        <v/>
      </c>
      <c r="D230" s="28" t="n"/>
      <c r="E230" s="33">
        <f>IF(B230="","",IFERROR(INDEX(Inventario!$D$5:$D$200,MATCH(B230,Inventario!$A$5:$A$200,0)),0))</f>
        <v/>
      </c>
      <c r="F230" s="33">
        <f>IF(OR(B230="",D230=""),"",D230*E230)</f>
        <v/>
      </c>
      <c r="G230" s="32">
        <f>IF(A230="","",IFERROR(INDEX(Pedidos!$L$5:$L$300,MATCH(A230,Pedidos!$A$5:$A$300,0)),"Pedido no existe"))</f>
        <v/>
      </c>
    </row>
    <row r="231" ht="15" customHeight="1" s="19">
      <c r="A231" s="28" t="n"/>
      <c r="B231" s="28" t="n"/>
      <c r="C231" s="32">
        <f>IF(B231="","",IFERROR(INDEX(Inventario!$B$5:$B$200,MATCH(B231,Inventario!$A$5:$A$200,0)),"SKU no existe"))</f>
        <v/>
      </c>
      <c r="D231" s="28" t="n"/>
      <c r="E231" s="33">
        <f>IF(B231="","",IFERROR(INDEX(Inventario!$D$5:$D$200,MATCH(B231,Inventario!$A$5:$A$200,0)),0))</f>
        <v/>
      </c>
      <c r="F231" s="33">
        <f>IF(OR(B231="",D231=""),"",D231*E231)</f>
        <v/>
      </c>
      <c r="G231" s="32">
        <f>IF(A231="","",IFERROR(INDEX(Pedidos!$L$5:$L$300,MATCH(A231,Pedidos!$A$5:$A$300,0)),"Pedido no existe"))</f>
        <v/>
      </c>
    </row>
    <row r="232" ht="15" customHeight="1" s="19">
      <c r="A232" s="28" t="n"/>
      <c r="B232" s="28" t="n"/>
      <c r="C232" s="32">
        <f>IF(B232="","",IFERROR(INDEX(Inventario!$B$5:$B$200,MATCH(B232,Inventario!$A$5:$A$200,0)),"SKU no existe"))</f>
        <v/>
      </c>
      <c r="D232" s="28" t="n"/>
      <c r="E232" s="33">
        <f>IF(B232="","",IFERROR(INDEX(Inventario!$D$5:$D$200,MATCH(B232,Inventario!$A$5:$A$200,0)),0))</f>
        <v/>
      </c>
      <c r="F232" s="33">
        <f>IF(OR(B232="",D232=""),"",D232*E232)</f>
        <v/>
      </c>
      <c r="G232" s="32">
        <f>IF(A232="","",IFERROR(INDEX(Pedidos!$L$5:$L$300,MATCH(A232,Pedidos!$A$5:$A$300,0)),"Pedido no existe"))</f>
        <v/>
      </c>
    </row>
    <row r="233" ht="15" customHeight="1" s="19">
      <c r="A233" s="28" t="n"/>
      <c r="B233" s="28" t="n"/>
      <c r="C233" s="32">
        <f>IF(B233="","",IFERROR(INDEX(Inventario!$B$5:$B$200,MATCH(B233,Inventario!$A$5:$A$200,0)),"SKU no existe"))</f>
        <v/>
      </c>
      <c r="D233" s="28" t="n"/>
      <c r="E233" s="33">
        <f>IF(B233="","",IFERROR(INDEX(Inventario!$D$5:$D$200,MATCH(B233,Inventario!$A$5:$A$200,0)),0))</f>
        <v/>
      </c>
      <c r="F233" s="33">
        <f>IF(OR(B233="",D233=""),"",D233*E233)</f>
        <v/>
      </c>
      <c r="G233" s="32">
        <f>IF(A233="","",IFERROR(INDEX(Pedidos!$L$5:$L$300,MATCH(A233,Pedidos!$A$5:$A$300,0)),"Pedido no existe"))</f>
        <v/>
      </c>
    </row>
    <row r="234" ht="15" customHeight="1" s="19">
      <c r="A234" s="28" t="n"/>
      <c r="B234" s="28" t="n"/>
      <c r="C234" s="32">
        <f>IF(B234="","",IFERROR(INDEX(Inventario!$B$5:$B$200,MATCH(B234,Inventario!$A$5:$A$200,0)),"SKU no existe"))</f>
        <v/>
      </c>
      <c r="D234" s="28" t="n"/>
      <c r="E234" s="33">
        <f>IF(B234="","",IFERROR(INDEX(Inventario!$D$5:$D$200,MATCH(B234,Inventario!$A$5:$A$200,0)),0))</f>
        <v/>
      </c>
      <c r="F234" s="33">
        <f>IF(OR(B234="",D234=""),"",D234*E234)</f>
        <v/>
      </c>
      <c r="G234" s="32">
        <f>IF(A234="","",IFERROR(INDEX(Pedidos!$L$5:$L$300,MATCH(A234,Pedidos!$A$5:$A$300,0)),"Pedido no existe"))</f>
        <v/>
      </c>
    </row>
    <row r="235" ht="15" customHeight="1" s="19">
      <c r="A235" s="28" t="n"/>
      <c r="B235" s="28" t="n"/>
      <c r="C235" s="32">
        <f>IF(B235="","",IFERROR(INDEX(Inventario!$B$5:$B$200,MATCH(B235,Inventario!$A$5:$A$200,0)),"SKU no existe"))</f>
        <v/>
      </c>
      <c r="D235" s="28" t="n"/>
      <c r="E235" s="33">
        <f>IF(B235="","",IFERROR(INDEX(Inventario!$D$5:$D$200,MATCH(B235,Inventario!$A$5:$A$200,0)),0))</f>
        <v/>
      </c>
      <c r="F235" s="33">
        <f>IF(OR(B235="",D235=""),"",D235*E235)</f>
        <v/>
      </c>
      <c r="G235" s="32">
        <f>IF(A235="","",IFERROR(INDEX(Pedidos!$L$5:$L$300,MATCH(A235,Pedidos!$A$5:$A$300,0)),"Pedido no existe"))</f>
        <v/>
      </c>
    </row>
    <row r="236" ht="15" customHeight="1" s="19">
      <c r="A236" s="28" t="n"/>
      <c r="B236" s="28" t="n"/>
      <c r="C236" s="32">
        <f>IF(B236="","",IFERROR(INDEX(Inventario!$B$5:$B$200,MATCH(B236,Inventario!$A$5:$A$200,0)),"SKU no existe"))</f>
        <v/>
      </c>
      <c r="D236" s="28" t="n"/>
      <c r="E236" s="33">
        <f>IF(B236="","",IFERROR(INDEX(Inventario!$D$5:$D$200,MATCH(B236,Inventario!$A$5:$A$200,0)),0))</f>
        <v/>
      </c>
      <c r="F236" s="33">
        <f>IF(OR(B236="",D236=""),"",D236*E236)</f>
        <v/>
      </c>
      <c r="G236" s="32">
        <f>IF(A236="","",IFERROR(INDEX(Pedidos!$L$5:$L$300,MATCH(A236,Pedidos!$A$5:$A$300,0)),"Pedido no existe"))</f>
        <v/>
      </c>
    </row>
    <row r="237" ht="15" customHeight="1" s="19">
      <c r="A237" s="28" t="n"/>
      <c r="B237" s="28" t="n"/>
      <c r="C237" s="32">
        <f>IF(B237="","",IFERROR(INDEX(Inventario!$B$5:$B$200,MATCH(B237,Inventario!$A$5:$A$200,0)),"SKU no existe"))</f>
        <v/>
      </c>
      <c r="D237" s="28" t="n"/>
      <c r="E237" s="33">
        <f>IF(B237="","",IFERROR(INDEX(Inventario!$D$5:$D$200,MATCH(B237,Inventario!$A$5:$A$200,0)),0))</f>
        <v/>
      </c>
      <c r="F237" s="33">
        <f>IF(OR(B237="",D237=""),"",D237*E237)</f>
        <v/>
      </c>
      <c r="G237" s="32">
        <f>IF(A237="","",IFERROR(INDEX(Pedidos!$L$5:$L$300,MATCH(A237,Pedidos!$A$5:$A$300,0)),"Pedido no existe"))</f>
        <v/>
      </c>
    </row>
    <row r="238" ht="15" customHeight="1" s="19">
      <c r="A238" s="28" t="n"/>
      <c r="B238" s="28" t="n"/>
      <c r="C238" s="32">
        <f>IF(B238="","",IFERROR(INDEX(Inventario!$B$5:$B$200,MATCH(B238,Inventario!$A$5:$A$200,0)),"SKU no existe"))</f>
        <v/>
      </c>
      <c r="D238" s="28" t="n"/>
      <c r="E238" s="33">
        <f>IF(B238="","",IFERROR(INDEX(Inventario!$D$5:$D$200,MATCH(B238,Inventario!$A$5:$A$200,0)),0))</f>
        <v/>
      </c>
      <c r="F238" s="33">
        <f>IF(OR(B238="",D238=""),"",D238*E238)</f>
        <v/>
      </c>
      <c r="G238" s="32">
        <f>IF(A238="","",IFERROR(INDEX(Pedidos!$L$5:$L$300,MATCH(A238,Pedidos!$A$5:$A$300,0)),"Pedido no existe"))</f>
        <v/>
      </c>
    </row>
    <row r="239" ht="15" customHeight="1" s="19">
      <c r="A239" s="28" t="n"/>
      <c r="B239" s="28" t="n"/>
      <c r="C239" s="32">
        <f>IF(B239="","",IFERROR(INDEX(Inventario!$B$5:$B$200,MATCH(B239,Inventario!$A$5:$A$200,0)),"SKU no existe"))</f>
        <v/>
      </c>
      <c r="D239" s="28" t="n"/>
      <c r="E239" s="33">
        <f>IF(B239="","",IFERROR(INDEX(Inventario!$D$5:$D$200,MATCH(B239,Inventario!$A$5:$A$200,0)),0))</f>
        <v/>
      </c>
      <c r="F239" s="33">
        <f>IF(OR(B239="",D239=""),"",D239*E239)</f>
        <v/>
      </c>
      <c r="G239" s="32">
        <f>IF(A239="","",IFERROR(INDEX(Pedidos!$L$5:$L$300,MATCH(A239,Pedidos!$A$5:$A$300,0)),"Pedido no existe"))</f>
        <v/>
      </c>
    </row>
    <row r="240" ht="15" customHeight="1" s="19">
      <c r="A240" s="28" t="n"/>
      <c r="B240" s="28" t="n"/>
      <c r="C240" s="32">
        <f>IF(B240="","",IFERROR(INDEX(Inventario!$B$5:$B$200,MATCH(B240,Inventario!$A$5:$A$200,0)),"SKU no existe"))</f>
        <v/>
      </c>
      <c r="D240" s="28" t="n"/>
      <c r="E240" s="33">
        <f>IF(B240="","",IFERROR(INDEX(Inventario!$D$5:$D$200,MATCH(B240,Inventario!$A$5:$A$200,0)),0))</f>
        <v/>
      </c>
      <c r="F240" s="33">
        <f>IF(OR(B240="",D240=""),"",D240*E240)</f>
        <v/>
      </c>
      <c r="G240" s="32">
        <f>IF(A240="","",IFERROR(INDEX(Pedidos!$L$5:$L$300,MATCH(A240,Pedidos!$A$5:$A$300,0)),"Pedido no existe"))</f>
        <v/>
      </c>
    </row>
    <row r="241" ht="15" customHeight="1" s="19">
      <c r="A241" s="28" t="n"/>
      <c r="B241" s="28" t="n"/>
      <c r="C241" s="32">
        <f>IF(B241="","",IFERROR(INDEX(Inventario!$B$5:$B$200,MATCH(B241,Inventario!$A$5:$A$200,0)),"SKU no existe"))</f>
        <v/>
      </c>
      <c r="D241" s="28" t="n"/>
      <c r="E241" s="33">
        <f>IF(B241="","",IFERROR(INDEX(Inventario!$D$5:$D$200,MATCH(B241,Inventario!$A$5:$A$200,0)),0))</f>
        <v/>
      </c>
      <c r="F241" s="33">
        <f>IF(OR(B241="",D241=""),"",D241*E241)</f>
        <v/>
      </c>
      <c r="G241" s="32">
        <f>IF(A241="","",IFERROR(INDEX(Pedidos!$L$5:$L$300,MATCH(A241,Pedidos!$A$5:$A$300,0)),"Pedido no existe"))</f>
        <v/>
      </c>
    </row>
    <row r="242" ht="15" customHeight="1" s="19">
      <c r="A242" s="28" t="n"/>
      <c r="B242" s="28" t="n"/>
      <c r="C242" s="32">
        <f>IF(B242="","",IFERROR(INDEX(Inventario!$B$5:$B$200,MATCH(B242,Inventario!$A$5:$A$200,0)),"SKU no existe"))</f>
        <v/>
      </c>
      <c r="D242" s="28" t="n"/>
      <c r="E242" s="33">
        <f>IF(B242="","",IFERROR(INDEX(Inventario!$D$5:$D$200,MATCH(B242,Inventario!$A$5:$A$200,0)),0))</f>
        <v/>
      </c>
      <c r="F242" s="33">
        <f>IF(OR(B242="",D242=""),"",D242*E242)</f>
        <v/>
      </c>
      <c r="G242" s="32">
        <f>IF(A242="","",IFERROR(INDEX(Pedidos!$L$5:$L$300,MATCH(A242,Pedidos!$A$5:$A$300,0)),"Pedido no existe"))</f>
        <v/>
      </c>
    </row>
    <row r="243" ht="15" customHeight="1" s="19">
      <c r="A243" s="28" t="n"/>
      <c r="B243" s="28" t="n"/>
      <c r="C243" s="32">
        <f>IF(B243="","",IFERROR(INDEX(Inventario!$B$5:$B$200,MATCH(B243,Inventario!$A$5:$A$200,0)),"SKU no existe"))</f>
        <v/>
      </c>
      <c r="D243" s="28" t="n"/>
      <c r="E243" s="33">
        <f>IF(B243="","",IFERROR(INDEX(Inventario!$D$5:$D$200,MATCH(B243,Inventario!$A$5:$A$200,0)),0))</f>
        <v/>
      </c>
      <c r="F243" s="33">
        <f>IF(OR(B243="",D243=""),"",D243*E243)</f>
        <v/>
      </c>
      <c r="G243" s="32">
        <f>IF(A243="","",IFERROR(INDEX(Pedidos!$L$5:$L$300,MATCH(A243,Pedidos!$A$5:$A$300,0)),"Pedido no existe"))</f>
        <v/>
      </c>
    </row>
    <row r="244" ht="15" customHeight="1" s="19">
      <c r="A244" s="28" t="n"/>
      <c r="B244" s="28" t="n"/>
      <c r="C244" s="32">
        <f>IF(B244="","",IFERROR(INDEX(Inventario!$B$5:$B$200,MATCH(B244,Inventario!$A$5:$A$200,0)),"SKU no existe"))</f>
        <v/>
      </c>
      <c r="D244" s="28" t="n"/>
      <c r="E244" s="33">
        <f>IF(B244="","",IFERROR(INDEX(Inventario!$D$5:$D$200,MATCH(B244,Inventario!$A$5:$A$200,0)),0))</f>
        <v/>
      </c>
      <c r="F244" s="33">
        <f>IF(OR(B244="",D244=""),"",D244*E244)</f>
        <v/>
      </c>
      <c r="G244" s="32">
        <f>IF(A244="","",IFERROR(INDEX(Pedidos!$L$5:$L$300,MATCH(A244,Pedidos!$A$5:$A$300,0)),"Pedido no existe"))</f>
        <v/>
      </c>
    </row>
    <row r="245" ht="15" customHeight="1" s="19">
      <c r="A245" s="28" t="n"/>
      <c r="B245" s="28" t="n"/>
      <c r="C245" s="32">
        <f>IF(B245="","",IFERROR(INDEX(Inventario!$B$5:$B$200,MATCH(B245,Inventario!$A$5:$A$200,0)),"SKU no existe"))</f>
        <v/>
      </c>
      <c r="D245" s="28" t="n"/>
      <c r="E245" s="33">
        <f>IF(B245="","",IFERROR(INDEX(Inventario!$D$5:$D$200,MATCH(B245,Inventario!$A$5:$A$200,0)),0))</f>
        <v/>
      </c>
      <c r="F245" s="33">
        <f>IF(OR(B245="",D245=""),"",D245*E245)</f>
        <v/>
      </c>
      <c r="G245" s="32">
        <f>IF(A245="","",IFERROR(INDEX(Pedidos!$L$5:$L$300,MATCH(A245,Pedidos!$A$5:$A$300,0)),"Pedido no existe"))</f>
        <v/>
      </c>
    </row>
    <row r="246" ht="15" customHeight="1" s="19">
      <c r="A246" s="28" t="n"/>
      <c r="B246" s="28" t="n"/>
      <c r="C246" s="32">
        <f>IF(B246="","",IFERROR(INDEX(Inventario!$B$5:$B$200,MATCH(B246,Inventario!$A$5:$A$200,0)),"SKU no existe"))</f>
        <v/>
      </c>
      <c r="D246" s="28" t="n"/>
      <c r="E246" s="33">
        <f>IF(B246="","",IFERROR(INDEX(Inventario!$D$5:$D$200,MATCH(B246,Inventario!$A$5:$A$200,0)),0))</f>
        <v/>
      </c>
      <c r="F246" s="33">
        <f>IF(OR(B246="",D246=""),"",D246*E246)</f>
        <v/>
      </c>
      <c r="G246" s="32">
        <f>IF(A246="","",IFERROR(INDEX(Pedidos!$L$5:$L$300,MATCH(A246,Pedidos!$A$5:$A$300,0)),"Pedido no existe"))</f>
        <v/>
      </c>
    </row>
    <row r="247" ht="15" customHeight="1" s="19">
      <c r="A247" s="28" t="n"/>
      <c r="B247" s="28" t="n"/>
      <c r="C247" s="32">
        <f>IF(B247="","",IFERROR(INDEX(Inventario!$B$5:$B$200,MATCH(B247,Inventario!$A$5:$A$200,0)),"SKU no existe"))</f>
        <v/>
      </c>
      <c r="D247" s="28" t="n"/>
      <c r="E247" s="33">
        <f>IF(B247="","",IFERROR(INDEX(Inventario!$D$5:$D$200,MATCH(B247,Inventario!$A$5:$A$200,0)),0))</f>
        <v/>
      </c>
      <c r="F247" s="33">
        <f>IF(OR(B247="",D247=""),"",D247*E247)</f>
        <v/>
      </c>
      <c r="G247" s="32">
        <f>IF(A247="","",IFERROR(INDEX(Pedidos!$L$5:$L$300,MATCH(A247,Pedidos!$A$5:$A$300,0)),"Pedido no existe"))</f>
        <v/>
      </c>
    </row>
    <row r="248" ht="15" customHeight="1" s="19">
      <c r="A248" s="28" t="n"/>
      <c r="B248" s="28" t="n"/>
      <c r="C248" s="32">
        <f>IF(B248="","",IFERROR(INDEX(Inventario!$B$5:$B$200,MATCH(B248,Inventario!$A$5:$A$200,0)),"SKU no existe"))</f>
        <v/>
      </c>
      <c r="D248" s="28" t="n"/>
      <c r="E248" s="33">
        <f>IF(B248="","",IFERROR(INDEX(Inventario!$D$5:$D$200,MATCH(B248,Inventario!$A$5:$A$200,0)),0))</f>
        <v/>
      </c>
      <c r="F248" s="33">
        <f>IF(OR(B248="",D248=""),"",D248*E248)</f>
        <v/>
      </c>
      <c r="G248" s="32">
        <f>IF(A248="","",IFERROR(INDEX(Pedidos!$L$5:$L$300,MATCH(A248,Pedidos!$A$5:$A$300,0)),"Pedido no existe"))</f>
        <v/>
      </c>
    </row>
    <row r="249" ht="15" customHeight="1" s="19">
      <c r="A249" s="28" t="n"/>
      <c r="B249" s="28" t="n"/>
      <c r="C249" s="32">
        <f>IF(B249="","",IFERROR(INDEX(Inventario!$B$5:$B$200,MATCH(B249,Inventario!$A$5:$A$200,0)),"SKU no existe"))</f>
        <v/>
      </c>
      <c r="D249" s="28" t="n"/>
      <c r="E249" s="33">
        <f>IF(B249="","",IFERROR(INDEX(Inventario!$D$5:$D$200,MATCH(B249,Inventario!$A$5:$A$200,0)),0))</f>
        <v/>
      </c>
      <c r="F249" s="33">
        <f>IF(OR(B249="",D249=""),"",D249*E249)</f>
        <v/>
      </c>
      <c r="G249" s="32">
        <f>IF(A249="","",IFERROR(INDEX(Pedidos!$L$5:$L$300,MATCH(A249,Pedidos!$A$5:$A$300,0)),"Pedido no existe"))</f>
        <v/>
      </c>
    </row>
    <row r="250" ht="15" customHeight="1" s="19">
      <c r="A250" s="28" t="n"/>
      <c r="B250" s="28" t="n"/>
      <c r="C250" s="32">
        <f>IF(B250="","",IFERROR(INDEX(Inventario!$B$5:$B$200,MATCH(B250,Inventario!$A$5:$A$200,0)),"SKU no existe"))</f>
        <v/>
      </c>
      <c r="D250" s="28" t="n"/>
      <c r="E250" s="33">
        <f>IF(B250="","",IFERROR(INDEX(Inventario!$D$5:$D$200,MATCH(B250,Inventario!$A$5:$A$200,0)),0))</f>
        <v/>
      </c>
      <c r="F250" s="33">
        <f>IF(OR(B250="",D250=""),"",D250*E250)</f>
        <v/>
      </c>
      <c r="G250" s="32">
        <f>IF(A250="","",IFERROR(INDEX(Pedidos!$L$5:$L$300,MATCH(A250,Pedidos!$A$5:$A$300,0)),"Pedido no existe"))</f>
        <v/>
      </c>
    </row>
    <row r="251" ht="15" customHeight="1" s="19">
      <c r="A251" s="28" t="n"/>
      <c r="B251" s="28" t="n"/>
      <c r="C251" s="32">
        <f>IF(B251="","",IFERROR(INDEX(Inventario!$B$5:$B$200,MATCH(B251,Inventario!$A$5:$A$200,0)),"SKU no existe"))</f>
        <v/>
      </c>
      <c r="D251" s="28" t="n"/>
      <c r="E251" s="33">
        <f>IF(B251="","",IFERROR(INDEX(Inventario!$D$5:$D$200,MATCH(B251,Inventario!$A$5:$A$200,0)),0))</f>
        <v/>
      </c>
      <c r="F251" s="33">
        <f>IF(OR(B251="",D251=""),"",D251*E251)</f>
        <v/>
      </c>
      <c r="G251" s="32">
        <f>IF(A251="","",IFERROR(INDEX(Pedidos!$L$5:$L$300,MATCH(A251,Pedidos!$A$5:$A$300,0)),"Pedido no existe"))</f>
        <v/>
      </c>
    </row>
    <row r="252" ht="15" customHeight="1" s="19">
      <c r="A252" s="28" t="n"/>
      <c r="B252" s="28" t="n"/>
      <c r="C252" s="32">
        <f>IF(B252="","",IFERROR(INDEX(Inventario!$B$5:$B$200,MATCH(B252,Inventario!$A$5:$A$200,0)),"SKU no existe"))</f>
        <v/>
      </c>
      <c r="D252" s="28" t="n"/>
      <c r="E252" s="33">
        <f>IF(B252="","",IFERROR(INDEX(Inventario!$D$5:$D$200,MATCH(B252,Inventario!$A$5:$A$200,0)),0))</f>
        <v/>
      </c>
      <c r="F252" s="33">
        <f>IF(OR(B252="",D252=""),"",D252*E252)</f>
        <v/>
      </c>
      <c r="G252" s="32">
        <f>IF(A252="","",IFERROR(INDEX(Pedidos!$L$5:$L$300,MATCH(A252,Pedidos!$A$5:$A$300,0)),"Pedido no existe"))</f>
        <v/>
      </c>
    </row>
    <row r="253" ht="15" customHeight="1" s="19">
      <c r="A253" s="28" t="n"/>
      <c r="B253" s="28" t="n"/>
      <c r="C253" s="32">
        <f>IF(B253="","",IFERROR(INDEX(Inventario!$B$5:$B$200,MATCH(B253,Inventario!$A$5:$A$200,0)),"SKU no existe"))</f>
        <v/>
      </c>
      <c r="D253" s="28" t="n"/>
      <c r="E253" s="33">
        <f>IF(B253="","",IFERROR(INDEX(Inventario!$D$5:$D$200,MATCH(B253,Inventario!$A$5:$A$200,0)),0))</f>
        <v/>
      </c>
      <c r="F253" s="33">
        <f>IF(OR(B253="",D253=""),"",D253*E253)</f>
        <v/>
      </c>
      <c r="G253" s="32">
        <f>IF(A253="","",IFERROR(INDEX(Pedidos!$L$5:$L$300,MATCH(A253,Pedidos!$A$5:$A$300,0)),"Pedido no existe"))</f>
        <v/>
      </c>
    </row>
    <row r="254" ht="15" customHeight="1" s="19">
      <c r="A254" s="28" t="n"/>
      <c r="B254" s="28" t="n"/>
      <c r="C254" s="32">
        <f>IF(B254="","",IFERROR(INDEX(Inventario!$B$5:$B$200,MATCH(B254,Inventario!$A$5:$A$200,0)),"SKU no existe"))</f>
        <v/>
      </c>
      <c r="D254" s="28" t="n"/>
      <c r="E254" s="33">
        <f>IF(B254="","",IFERROR(INDEX(Inventario!$D$5:$D$200,MATCH(B254,Inventario!$A$5:$A$200,0)),0))</f>
        <v/>
      </c>
      <c r="F254" s="33">
        <f>IF(OR(B254="",D254=""),"",D254*E254)</f>
        <v/>
      </c>
      <c r="G254" s="32">
        <f>IF(A254="","",IFERROR(INDEX(Pedidos!$L$5:$L$300,MATCH(A254,Pedidos!$A$5:$A$300,0)),"Pedido no existe"))</f>
        <v/>
      </c>
    </row>
    <row r="255" ht="15" customHeight="1" s="19">
      <c r="A255" s="28" t="n"/>
      <c r="B255" s="28" t="n"/>
      <c r="C255" s="32">
        <f>IF(B255="","",IFERROR(INDEX(Inventario!$B$5:$B$200,MATCH(B255,Inventario!$A$5:$A$200,0)),"SKU no existe"))</f>
        <v/>
      </c>
      <c r="D255" s="28" t="n"/>
      <c r="E255" s="33">
        <f>IF(B255="","",IFERROR(INDEX(Inventario!$D$5:$D$200,MATCH(B255,Inventario!$A$5:$A$200,0)),0))</f>
        <v/>
      </c>
      <c r="F255" s="33">
        <f>IF(OR(B255="",D255=""),"",D255*E255)</f>
        <v/>
      </c>
      <c r="G255" s="32">
        <f>IF(A255="","",IFERROR(INDEX(Pedidos!$L$5:$L$300,MATCH(A255,Pedidos!$A$5:$A$300,0)),"Pedido no existe"))</f>
        <v/>
      </c>
    </row>
    <row r="256" ht="15" customHeight="1" s="19">
      <c r="A256" s="28" t="n"/>
      <c r="B256" s="28" t="n"/>
      <c r="C256" s="32">
        <f>IF(B256="","",IFERROR(INDEX(Inventario!$B$5:$B$200,MATCH(B256,Inventario!$A$5:$A$200,0)),"SKU no existe"))</f>
        <v/>
      </c>
      <c r="D256" s="28" t="n"/>
      <c r="E256" s="33">
        <f>IF(B256="","",IFERROR(INDEX(Inventario!$D$5:$D$200,MATCH(B256,Inventario!$A$5:$A$200,0)),0))</f>
        <v/>
      </c>
      <c r="F256" s="33">
        <f>IF(OR(B256="",D256=""),"",D256*E256)</f>
        <v/>
      </c>
      <c r="G256" s="32">
        <f>IF(A256="","",IFERROR(INDEX(Pedidos!$L$5:$L$300,MATCH(A256,Pedidos!$A$5:$A$300,0)),"Pedido no existe"))</f>
        <v/>
      </c>
    </row>
    <row r="257" ht="15" customHeight="1" s="19">
      <c r="A257" s="28" t="n"/>
      <c r="B257" s="28" t="n"/>
      <c r="C257" s="32">
        <f>IF(B257="","",IFERROR(INDEX(Inventario!$B$5:$B$200,MATCH(B257,Inventario!$A$5:$A$200,0)),"SKU no existe"))</f>
        <v/>
      </c>
      <c r="D257" s="28" t="n"/>
      <c r="E257" s="33">
        <f>IF(B257="","",IFERROR(INDEX(Inventario!$D$5:$D$200,MATCH(B257,Inventario!$A$5:$A$200,0)),0))</f>
        <v/>
      </c>
      <c r="F257" s="33">
        <f>IF(OR(B257="",D257=""),"",D257*E257)</f>
        <v/>
      </c>
      <c r="G257" s="32">
        <f>IF(A257="","",IFERROR(INDEX(Pedidos!$L$5:$L$300,MATCH(A257,Pedidos!$A$5:$A$300,0)),"Pedido no existe"))</f>
        <v/>
      </c>
    </row>
    <row r="258" ht="15" customHeight="1" s="19">
      <c r="A258" s="28" t="n"/>
      <c r="B258" s="28" t="n"/>
      <c r="C258" s="32">
        <f>IF(B258="","",IFERROR(INDEX(Inventario!$B$5:$B$200,MATCH(B258,Inventario!$A$5:$A$200,0)),"SKU no existe"))</f>
        <v/>
      </c>
      <c r="D258" s="28" t="n"/>
      <c r="E258" s="33">
        <f>IF(B258="","",IFERROR(INDEX(Inventario!$D$5:$D$200,MATCH(B258,Inventario!$A$5:$A$200,0)),0))</f>
        <v/>
      </c>
      <c r="F258" s="33">
        <f>IF(OR(B258="",D258=""),"",D258*E258)</f>
        <v/>
      </c>
      <c r="G258" s="32">
        <f>IF(A258="","",IFERROR(INDEX(Pedidos!$L$5:$L$300,MATCH(A258,Pedidos!$A$5:$A$300,0)),"Pedido no existe"))</f>
        <v/>
      </c>
    </row>
    <row r="259" ht="15" customHeight="1" s="19">
      <c r="A259" s="28" t="n"/>
      <c r="B259" s="28" t="n"/>
      <c r="C259" s="32">
        <f>IF(B259="","",IFERROR(INDEX(Inventario!$B$5:$B$200,MATCH(B259,Inventario!$A$5:$A$200,0)),"SKU no existe"))</f>
        <v/>
      </c>
      <c r="D259" s="28" t="n"/>
      <c r="E259" s="33">
        <f>IF(B259="","",IFERROR(INDEX(Inventario!$D$5:$D$200,MATCH(B259,Inventario!$A$5:$A$200,0)),0))</f>
        <v/>
      </c>
      <c r="F259" s="33">
        <f>IF(OR(B259="",D259=""),"",D259*E259)</f>
        <v/>
      </c>
      <c r="G259" s="32">
        <f>IF(A259="","",IFERROR(INDEX(Pedidos!$L$5:$L$300,MATCH(A259,Pedidos!$A$5:$A$300,0)),"Pedido no existe"))</f>
        <v/>
      </c>
    </row>
    <row r="260" ht="15" customHeight="1" s="19">
      <c r="A260" s="28" t="n"/>
      <c r="B260" s="28" t="n"/>
      <c r="C260" s="32">
        <f>IF(B260="","",IFERROR(INDEX(Inventario!$B$5:$B$200,MATCH(B260,Inventario!$A$5:$A$200,0)),"SKU no existe"))</f>
        <v/>
      </c>
      <c r="D260" s="28" t="n"/>
      <c r="E260" s="33">
        <f>IF(B260="","",IFERROR(INDEX(Inventario!$D$5:$D$200,MATCH(B260,Inventario!$A$5:$A$200,0)),0))</f>
        <v/>
      </c>
      <c r="F260" s="33">
        <f>IF(OR(B260="",D260=""),"",D260*E260)</f>
        <v/>
      </c>
      <c r="G260" s="32">
        <f>IF(A260="","",IFERROR(INDEX(Pedidos!$L$5:$L$300,MATCH(A260,Pedidos!$A$5:$A$300,0)),"Pedido no existe"))</f>
        <v/>
      </c>
    </row>
    <row r="261" ht="15" customHeight="1" s="19">
      <c r="A261" s="28" t="n"/>
      <c r="B261" s="28" t="n"/>
      <c r="C261" s="32">
        <f>IF(B261="","",IFERROR(INDEX(Inventario!$B$5:$B$200,MATCH(B261,Inventario!$A$5:$A$200,0)),"SKU no existe"))</f>
        <v/>
      </c>
      <c r="D261" s="28" t="n"/>
      <c r="E261" s="33">
        <f>IF(B261="","",IFERROR(INDEX(Inventario!$D$5:$D$200,MATCH(B261,Inventario!$A$5:$A$200,0)),0))</f>
        <v/>
      </c>
      <c r="F261" s="33">
        <f>IF(OR(B261="",D261=""),"",D261*E261)</f>
        <v/>
      </c>
      <c r="G261" s="32">
        <f>IF(A261="","",IFERROR(INDEX(Pedidos!$L$5:$L$300,MATCH(A261,Pedidos!$A$5:$A$300,0)),"Pedido no existe"))</f>
        <v/>
      </c>
    </row>
    <row r="262" ht="15" customHeight="1" s="19">
      <c r="A262" s="28" t="n"/>
      <c r="B262" s="28" t="n"/>
      <c r="C262" s="32">
        <f>IF(B262="","",IFERROR(INDEX(Inventario!$B$5:$B$200,MATCH(B262,Inventario!$A$5:$A$200,0)),"SKU no existe"))</f>
        <v/>
      </c>
      <c r="D262" s="28" t="n"/>
      <c r="E262" s="33">
        <f>IF(B262="","",IFERROR(INDEX(Inventario!$D$5:$D$200,MATCH(B262,Inventario!$A$5:$A$200,0)),0))</f>
        <v/>
      </c>
      <c r="F262" s="33">
        <f>IF(OR(B262="",D262=""),"",D262*E262)</f>
        <v/>
      </c>
      <c r="G262" s="32">
        <f>IF(A262="","",IFERROR(INDEX(Pedidos!$L$5:$L$300,MATCH(A262,Pedidos!$A$5:$A$300,0)),"Pedido no existe"))</f>
        <v/>
      </c>
    </row>
    <row r="263" ht="15" customHeight="1" s="19">
      <c r="A263" s="28" t="n"/>
      <c r="B263" s="28" t="n"/>
      <c r="C263" s="32">
        <f>IF(B263="","",IFERROR(INDEX(Inventario!$B$5:$B$200,MATCH(B263,Inventario!$A$5:$A$200,0)),"SKU no existe"))</f>
        <v/>
      </c>
      <c r="D263" s="28" t="n"/>
      <c r="E263" s="33">
        <f>IF(B263="","",IFERROR(INDEX(Inventario!$D$5:$D$200,MATCH(B263,Inventario!$A$5:$A$200,0)),0))</f>
        <v/>
      </c>
      <c r="F263" s="33">
        <f>IF(OR(B263="",D263=""),"",D263*E263)</f>
        <v/>
      </c>
      <c r="G263" s="32">
        <f>IF(A263="","",IFERROR(INDEX(Pedidos!$L$5:$L$300,MATCH(A263,Pedidos!$A$5:$A$300,0)),"Pedido no existe"))</f>
        <v/>
      </c>
    </row>
    <row r="264" ht="15" customHeight="1" s="19">
      <c r="A264" s="28" t="n"/>
      <c r="B264" s="28" t="n"/>
      <c r="C264" s="32">
        <f>IF(B264="","",IFERROR(INDEX(Inventario!$B$5:$B$200,MATCH(B264,Inventario!$A$5:$A$200,0)),"SKU no existe"))</f>
        <v/>
      </c>
      <c r="D264" s="28" t="n"/>
      <c r="E264" s="33">
        <f>IF(B264="","",IFERROR(INDEX(Inventario!$D$5:$D$200,MATCH(B264,Inventario!$A$5:$A$200,0)),0))</f>
        <v/>
      </c>
      <c r="F264" s="33">
        <f>IF(OR(B264="",D264=""),"",D264*E264)</f>
        <v/>
      </c>
      <c r="G264" s="32">
        <f>IF(A264="","",IFERROR(INDEX(Pedidos!$L$5:$L$300,MATCH(A264,Pedidos!$A$5:$A$300,0)),"Pedido no existe"))</f>
        <v/>
      </c>
    </row>
    <row r="265" ht="15" customHeight="1" s="19">
      <c r="A265" s="28" t="n"/>
      <c r="B265" s="28" t="n"/>
      <c r="C265" s="32">
        <f>IF(B265="","",IFERROR(INDEX(Inventario!$B$5:$B$200,MATCH(B265,Inventario!$A$5:$A$200,0)),"SKU no existe"))</f>
        <v/>
      </c>
      <c r="D265" s="28" t="n"/>
      <c r="E265" s="33">
        <f>IF(B265="","",IFERROR(INDEX(Inventario!$D$5:$D$200,MATCH(B265,Inventario!$A$5:$A$200,0)),0))</f>
        <v/>
      </c>
      <c r="F265" s="33">
        <f>IF(OR(B265="",D265=""),"",D265*E265)</f>
        <v/>
      </c>
      <c r="G265" s="32">
        <f>IF(A265="","",IFERROR(INDEX(Pedidos!$L$5:$L$300,MATCH(A265,Pedidos!$A$5:$A$300,0)),"Pedido no existe"))</f>
        <v/>
      </c>
    </row>
    <row r="266" ht="15" customHeight="1" s="19">
      <c r="A266" s="28" t="n"/>
      <c r="B266" s="28" t="n"/>
      <c r="C266" s="32">
        <f>IF(B266="","",IFERROR(INDEX(Inventario!$B$5:$B$200,MATCH(B266,Inventario!$A$5:$A$200,0)),"SKU no existe"))</f>
        <v/>
      </c>
      <c r="D266" s="28" t="n"/>
      <c r="E266" s="33">
        <f>IF(B266="","",IFERROR(INDEX(Inventario!$D$5:$D$200,MATCH(B266,Inventario!$A$5:$A$200,0)),0))</f>
        <v/>
      </c>
      <c r="F266" s="33">
        <f>IF(OR(B266="",D266=""),"",D266*E266)</f>
        <v/>
      </c>
      <c r="G266" s="32">
        <f>IF(A266="","",IFERROR(INDEX(Pedidos!$L$5:$L$300,MATCH(A266,Pedidos!$A$5:$A$300,0)),"Pedido no existe"))</f>
        <v/>
      </c>
    </row>
    <row r="267" ht="15" customHeight="1" s="19">
      <c r="A267" s="28" t="n"/>
      <c r="B267" s="28" t="n"/>
      <c r="C267" s="32">
        <f>IF(B267="","",IFERROR(INDEX(Inventario!$B$5:$B$200,MATCH(B267,Inventario!$A$5:$A$200,0)),"SKU no existe"))</f>
        <v/>
      </c>
      <c r="D267" s="28" t="n"/>
      <c r="E267" s="33">
        <f>IF(B267="","",IFERROR(INDEX(Inventario!$D$5:$D$200,MATCH(B267,Inventario!$A$5:$A$200,0)),0))</f>
        <v/>
      </c>
      <c r="F267" s="33">
        <f>IF(OR(B267="",D267=""),"",D267*E267)</f>
        <v/>
      </c>
      <c r="G267" s="32">
        <f>IF(A267="","",IFERROR(INDEX(Pedidos!$L$5:$L$300,MATCH(A267,Pedidos!$A$5:$A$300,0)),"Pedido no existe"))</f>
        <v/>
      </c>
    </row>
    <row r="268" ht="15" customHeight="1" s="19">
      <c r="A268" s="28" t="n"/>
      <c r="B268" s="28" t="n"/>
      <c r="C268" s="32">
        <f>IF(B268="","",IFERROR(INDEX(Inventario!$B$5:$B$200,MATCH(B268,Inventario!$A$5:$A$200,0)),"SKU no existe"))</f>
        <v/>
      </c>
      <c r="D268" s="28" t="n"/>
      <c r="E268" s="33">
        <f>IF(B268="","",IFERROR(INDEX(Inventario!$D$5:$D$200,MATCH(B268,Inventario!$A$5:$A$200,0)),0))</f>
        <v/>
      </c>
      <c r="F268" s="33">
        <f>IF(OR(B268="",D268=""),"",D268*E268)</f>
        <v/>
      </c>
      <c r="G268" s="32">
        <f>IF(A268="","",IFERROR(INDEX(Pedidos!$L$5:$L$300,MATCH(A268,Pedidos!$A$5:$A$300,0)),"Pedido no existe"))</f>
        <v/>
      </c>
    </row>
    <row r="269" ht="15" customHeight="1" s="19">
      <c r="A269" s="28" t="n"/>
      <c r="B269" s="28" t="n"/>
      <c r="C269" s="32">
        <f>IF(B269="","",IFERROR(INDEX(Inventario!$B$5:$B$200,MATCH(B269,Inventario!$A$5:$A$200,0)),"SKU no existe"))</f>
        <v/>
      </c>
      <c r="D269" s="28" t="n"/>
      <c r="E269" s="33">
        <f>IF(B269="","",IFERROR(INDEX(Inventario!$D$5:$D$200,MATCH(B269,Inventario!$A$5:$A$200,0)),0))</f>
        <v/>
      </c>
      <c r="F269" s="33">
        <f>IF(OR(B269="",D269=""),"",D269*E269)</f>
        <v/>
      </c>
      <c r="G269" s="32">
        <f>IF(A269="","",IFERROR(INDEX(Pedidos!$L$5:$L$300,MATCH(A269,Pedidos!$A$5:$A$300,0)),"Pedido no existe"))</f>
        <v/>
      </c>
    </row>
    <row r="270" ht="15" customHeight="1" s="19">
      <c r="A270" s="28" t="n"/>
      <c r="B270" s="28" t="n"/>
      <c r="C270" s="32">
        <f>IF(B270="","",IFERROR(INDEX(Inventario!$B$5:$B$200,MATCH(B270,Inventario!$A$5:$A$200,0)),"SKU no existe"))</f>
        <v/>
      </c>
      <c r="D270" s="28" t="n"/>
      <c r="E270" s="33">
        <f>IF(B270="","",IFERROR(INDEX(Inventario!$D$5:$D$200,MATCH(B270,Inventario!$A$5:$A$200,0)),0))</f>
        <v/>
      </c>
      <c r="F270" s="33">
        <f>IF(OR(B270="",D270=""),"",D270*E270)</f>
        <v/>
      </c>
      <c r="G270" s="32">
        <f>IF(A270="","",IFERROR(INDEX(Pedidos!$L$5:$L$300,MATCH(A270,Pedidos!$A$5:$A$300,0)),"Pedido no existe"))</f>
        <v/>
      </c>
    </row>
    <row r="271" ht="15" customHeight="1" s="19">
      <c r="A271" s="28" t="n"/>
      <c r="B271" s="28" t="n"/>
      <c r="C271" s="32">
        <f>IF(B271="","",IFERROR(INDEX(Inventario!$B$5:$B$200,MATCH(B271,Inventario!$A$5:$A$200,0)),"SKU no existe"))</f>
        <v/>
      </c>
      <c r="D271" s="28" t="n"/>
      <c r="E271" s="33">
        <f>IF(B271="","",IFERROR(INDEX(Inventario!$D$5:$D$200,MATCH(B271,Inventario!$A$5:$A$200,0)),0))</f>
        <v/>
      </c>
      <c r="F271" s="33">
        <f>IF(OR(B271="",D271=""),"",D271*E271)</f>
        <v/>
      </c>
      <c r="G271" s="32">
        <f>IF(A271="","",IFERROR(INDEX(Pedidos!$L$5:$L$300,MATCH(A271,Pedidos!$A$5:$A$300,0)),"Pedido no existe"))</f>
        <v/>
      </c>
    </row>
    <row r="272" ht="15" customHeight="1" s="19">
      <c r="A272" s="28" t="n"/>
      <c r="B272" s="28" t="n"/>
      <c r="C272" s="32">
        <f>IF(B272="","",IFERROR(INDEX(Inventario!$B$5:$B$200,MATCH(B272,Inventario!$A$5:$A$200,0)),"SKU no existe"))</f>
        <v/>
      </c>
      <c r="D272" s="28" t="n"/>
      <c r="E272" s="33">
        <f>IF(B272="","",IFERROR(INDEX(Inventario!$D$5:$D$200,MATCH(B272,Inventario!$A$5:$A$200,0)),0))</f>
        <v/>
      </c>
      <c r="F272" s="33">
        <f>IF(OR(B272="",D272=""),"",D272*E272)</f>
        <v/>
      </c>
      <c r="G272" s="32">
        <f>IF(A272="","",IFERROR(INDEX(Pedidos!$L$5:$L$300,MATCH(A272,Pedidos!$A$5:$A$300,0)),"Pedido no existe"))</f>
        <v/>
      </c>
    </row>
    <row r="273" ht="15" customHeight="1" s="19">
      <c r="A273" s="28" t="n"/>
      <c r="B273" s="28" t="n"/>
      <c r="C273" s="32">
        <f>IF(B273="","",IFERROR(INDEX(Inventario!$B$5:$B$200,MATCH(B273,Inventario!$A$5:$A$200,0)),"SKU no existe"))</f>
        <v/>
      </c>
      <c r="D273" s="28" t="n"/>
      <c r="E273" s="33">
        <f>IF(B273="","",IFERROR(INDEX(Inventario!$D$5:$D$200,MATCH(B273,Inventario!$A$5:$A$200,0)),0))</f>
        <v/>
      </c>
      <c r="F273" s="33">
        <f>IF(OR(B273="",D273=""),"",D273*E273)</f>
        <v/>
      </c>
      <c r="G273" s="32">
        <f>IF(A273="","",IFERROR(INDEX(Pedidos!$L$5:$L$300,MATCH(A273,Pedidos!$A$5:$A$300,0)),"Pedido no existe"))</f>
        <v/>
      </c>
    </row>
    <row r="274" ht="15" customHeight="1" s="19">
      <c r="A274" s="28" t="n"/>
      <c r="B274" s="28" t="n"/>
      <c r="C274" s="32">
        <f>IF(B274="","",IFERROR(INDEX(Inventario!$B$5:$B$200,MATCH(B274,Inventario!$A$5:$A$200,0)),"SKU no existe"))</f>
        <v/>
      </c>
      <c r="D274" s="28" t="n"/>
      <c r="E274" s="33">
        <f>IF(B274="","",IFERROR(INDEX(Inventario!$D$5:$D$200,MATCH(B274,Inventario!$A$5:$A$200,0)),0))</f>
        <v/>
      </c>
      <c r="F274" s="33">
        <f>IF(OR(B274="",D274=""),"",D274*E274)</f>
        <v/>
      </c>
      <c r="G274" s="32">
        <f>IF(A274="","",IFERROR(INDEX(Pedidos!$L$5:$L$300,MATCH(A274,Pedidos!$A$5:$A$300,0)),"Pedido no existe"))</f>
        <v/>
      </c>
    </row>
    <row r="275" ht="15" customHeight="1" s="19">
      <c r="A275" s="28" t="n"/>
      <c r="B275" s="28" t="n"/>
      <c r="C275" s="32">
        <f>IF(B275="","",IFERROR(INDEX(Inventario!$B$5:$B$200,MATCH(B275,Inventario!$A$5:$A$200,0)),"SKU no existe"))</f>
        <v/>
      </c>
      <c r="D275" s="28" t="n"/>
      <c r="E275" s="33">
        <f>IF(B275="","",IFERROR(INDEX(Inventario!$D$5:$D$200,MATCH(B275,Inventario!$A$5:$A$200,0)),0))</f>
        <v/>
      </c>
      <c r="F275" s="33">
        <f>IF(OR(B275="",D275=""),"",D275*E275)</f>
        <v/>
      </c>
      <c r="G275" s="32">
        <f>IF(A275="","",IFERROR(INDEX(Pedidos!$L$5:$L$300,MATCH(A275,Pedidos!$A$5:$A$300,0)),"Pedido no existe"))</f>
        <v/>
      </c>
    </row>
    <row r="276" ht="15" customHeight="1" s="19">
      <c r="A276" s="28" t="n"/>
      <c r="B276" s="28" t="n"/>
      <c r="C276" s="32">
        <f>IF(B276="","",IFERROR(INDEX(Inventario!$B$5:$B$200,MATCH(B276,Inventario!$A$5:$A$200,0)),"SKU no existe"))</f>
        <v/>
      </c>
      <c r="D276" s="28" t="n"/>
      <c r="E276" s="33">
        <f>IF(B276="","",IFERROR(INDEX(Inventario!$D$5:$D$200,MATCH(B276,Inventario!$A$5:$A$200,0)),0))</f>
        <v/>
      </c>
      <c r="F276" s="33">
        <f>IF(OR(B276="",D276=""),"",D276*E276)</f>
        <v/>
      </c>
      <c r="G276" s="32">
        <f>IF(A276="","",IFERROR(INDEX(Pedidos!$L$5:$L$300,MATCH(A276,Pedidos!$A$5:$A$300,0)),"Pedido no existe"))</f>
        <v/>
      </c>
    </row>
    <row r="277" ht="15" customHeight="1" s="19">
      <c r="A277" s="28" t="n"/>
      <c r="B277" s="28" t="n"/>
      <c r="C277" s="32">
        <f>IF(B277="","",IFERROR(INDEX(Inventario!$B$5:$B$200,MATCH(B277,Inventario!$A$5:$A$200,0)),"SKU no existe"))</f>
        <v/>
      </c>
      <c r="D277" s="28" t="n"/>
      <c r="E277" s="33">
        <f>IF(B277="","",IFERROR(INDEX(Inventario!$D$5:$D$200,MATCH(B277,Inventario!$A$5:$A$200,0)),0))</f>
        <v/>
      </c>
      <c r="F277" s="33">
        <f>IF(OR(B277="",D277=""),"",D277*E277)</f>
        <v/>
      </c>
      <c r="G277" s="32">
        <f>IF(A277="","",IFERROR(INDEX(Pedidos!$L$5:$L$300,MATCH(A277,Pedidos!$A$5:$A$300,0)),"Pedido no existe"))</f>
        <v/>
      </c>
    </row>
    <row r="278" ht="15" customHeight="1" s="19">
      <c r="A278" s="28" t="n"/>
      <c r="B278" s="28" t="n"/>
      <c r="C278" s="32">
        <f>IF(B278="","",IFERROR(INDEX(Inventario!$B$5:$B$200,MATCH(B278,Inventario!$A$5:$A$200,0)),"SKU no existe"))</f>
        <v/>
      </c>
      <c r="D278" s="28" t="n"/>
      <c r="E278" s="33">
        <f>IF(B278="","",IFERROR(INDEX(Inventario!$D$5:$D$200,MATCH(B278,Inventario!$A$5:$A$200,0)),0))</f>
        <v/>
      </c>
      <c r="F278" s="33">
        <f>IF(OR(B278="",D278=""),"",D278*E278)</f>
        <v/>
      </c>
      <c r="G278" s="32">
        <f>IF(A278="","",IFERROR(INDEX(Pedidos!$L$5:$L$300,MATCH(A278,Pedidos!$A$5:$A$300,0)),"Pedido no existe"))</f>
        <v/>
      </c>
    </row>
    <row r="279" ht="15" customHeight="1" s="19">
      <c r="A279" s="28" t="n"/>
      <c r="B279" s="28" t="n"/>
      <c r="C279" s="32">
        <f>IF(B279="","",IFERROR(INDEX(Inventario!$B$5:$B$200,MATCH(B279,Inventario!$A$5:$A$200,0)),"SKU no existe"))</f>
        <v/>
      </c>
      <c r="D279" s="28" t="n"/>
      <c r="E279" s="33">
        <f>IF(B279="","",IFERROR(INDEX(Inventario!$D$5:$D$200,MATCH(B279,Inventario!$A$5:$A$200,0)),0))</f>
        <v/>
      </c>
      <c r="F279" s="33">
        <f>IF(OR(B279="",D279=""),"",D279*E279)</f>
        <v/>
      </c>
      <c r="G279" s="32">
        <f>IF(A279="","",IFERROR(INDEX(Pedidos!$L$5:$L$300,MATCH(A279,Pedidos!$A$5:$A$300,0)),"Pedido no existe"))</f>
        <v/>
      </c>
    </row>
    <row r="280" ht="15" customHeight="1" s="19">
      <c r="A280" s="28" t="n"/>
      <c r="B280" s="28" t="n"/>
      <c r="C280" s="32">
        <f>IF(B280="","",IFERROR(INDEX(Inventario!$B$5:$B$200,MATCH(B280,Inventario!$A$5:$A$200,0)),"SKU no existe"))</f>
        <v/>
      </c>
      <c r="D280" s="28" t="n"/>
      <c r="E280" s="33">
        <f>IF(B280="","",IFERROR(INDEX(Inventario!$D$5:$D$200,MATCH(B280,Inventario!$A$5:$A$200,0)),0))</f>
        <v/>
      </c>
      <c r="F280" s="33">
        <f>IF(OR(B280="",D280=""),"",D280*E280)</f>
        <v/>
      </c>
      <c r="G280" s="32">
        <f>IF(A280="","",IFERROR(INDEX(Pedidos!$L$5:$L$300,MATCH(A280,Pedidos!$A$5:$A$300,0)),"Pedido no existe"))</f>
        <v/>
      </c>
    </row>
    <row r="281" ht="15" customHeight="1" s="19">
      <c r="A281" s="28" t="n"/>
      <c r="B281" s="28" t="n"/>
      <c r="C281" s="32">
        <f>IF(B281="","",IFERROR(INDEX(Inventario!$B$5:$B$200,MATCH(B281,Inventario!$A$5:$A$200,0)),"SKU no existe"))</f>
        <v/>
      </c>
      <c r="D281" s="28" t="n"/>
      <c r="E281" s="33">
        <f>IF(B281="","",IFERROR(INDEX(Inventario!$D$5:$D$200,MATCH(B281,Inventario!$A$5:$A$200,0)),0))</f>
        <v/>
      </c>
      <c r="F281" s="33">
        <f>IF(OR(B281="",D281=""),"",D281*E281)</f>
        <v/>
      </c>
      <c r="G281" s="32">
        <f>IF(A281="","",IFERROR(INDEX(Pedidos!$L$5:$L$300,MATCH(A281,Pedidos!$A$5:$A$300,0)),"Pedido no existe"))</f>
        <v/>
      </c>
    </row>
    <row r="282" ht="15" customHeight="1" s="19">
      <c r="A282" s="28" t="n"/>
      <c r="B282" s="28" t="n"/>
      <c r="C282" s="32">
        <f>IF(B282="","",IFERROR(INDEX(Inventario!$B$5:$B$200,MATCH(B282,Inventario!$A$5:$A$200,0)),"SKU no existe"))</f>
        <v/>
      </c>
      <c r="D282" s="28" t="n"/>
      <c r="E282" s="33">
        <f>IF(B282="","",IFERROR(INDEX(Inventario!$D$5:$D$200,MATCH(B282,Inventario!$A$5:$A$200,0)),0))</f>
        <v/>
      </c>
      <c r="F282" s="33">
        <f>IF(OR(B282="",D282=""),"",D282*E282)</f>
        <v/>
      </c>
      <c r="G282" s="32">
        <f>IF(A282="","",IFERROR(INDEX(Pedidos!$L$5:$L$300,MATCH(A282,Pedidos!$A$5:$A$300,0)),"Pedido no existe"))</f>
        <v/>
      </c>
    </row>
    <row r="283" ht="15" customHeight="1" s="19">
      <c r="A283" s="28" t="n"/>
      <c r="B283" s="28" t="n"/>
      <c r="C283" s="32">
        <f>IF(B283="","",IFERROR(INDEX(Inventario!$B$5:$B$200,MATCH(B283,Inventario!$A$5:$A$200,0)),"SKU no existe"))</f>
        <v/>
      </c>
      <c r="D283" s="28" t="n"/>
      <c r="E283" s="33">
        <f>IF(B283="","",IFERROR(INDEX(Inventario!$D$5:$D$200,MATCH(B283,Inventario!$A$5:$A$200,0)),0))</f>
        <v/>
      </c>
      <c r="F283" s="33">
        <f>IF(OR(B283="",D283=""),"",D283*E283)</f>
        <v/>
      </c>
      <c r="G283" s="32">
        <f>IF(A283="","",IFERROR(INDEX(Pedidos!$L$5:$L$300,MATCH(A283,Pedidos!$A$5:$A$300,0)),"Pedido no existe"))</f>
        <v/>
      </c>
    </row>
    <row r="284" ht="15" customHeight="1" s="19">
      <c r="A284" s="28" t="n"/>
      <c r="B284" s="28" t="n"/>
      <c r="C284" s="32">
        <f>IF(B284="","",IFERROR(INDEX(Inventario!$B$5:$B$200,MATCH(B284,Inventario!$A$5:$A$200,0)),"SKU no existe"))</f>
        <v/>
      </c>
      <c r="D284" s="28" t="n"/>
      <c r="E284" s="33">
        <f>IF(B284="","",IFERROR(INDEX(Inventario!$D$5:$D$200,MATCH(B284,Inventario!$A$5:$A$200,0)),0))</f>
        <v/>
      </c>
      <c r="F284" s="33">
        <f>IF(OR(B284="",D284=""),"",D284*E284)</f>
        <v/>
      </c>
      <c r="G284" s="32">
        <f>IF(A284="","",IFERROR(INDEX(Pedidos!$L$5:$L$300,MATCH(A284,Pedidos!$A$5:$A$300,0)),"Pedido no existe"))</f>
        <v/>
      </c>
    </row>
    <row r="285" ht="15" customHeight="1" s="19">
      <c r="A285" s="28" t="n"/>
      <c r="B285" s="28" t="n"/>
      <c r="C285" s="32">
        <f>IF(B285="","",IFERROR(INDEX(Inventario!$B$5:$B$200,MATCH(B285,Inventario!$A$5:$A$200,0)),"SKU no existe"))</f>
        <v/>
      </c>
      <c r="D285" s="28" t="n"/>
      <c r="E285" s="33">
        <f>IF(B285="","",IFERROR(INDEX(Inventario!$D$5:$D$200,MATCH(B285,Inventario!$A$5:$A$200,0)),0))</f>
        <v/>
      </c>
      <c r="F285" s="33">
        <f>IF(OR(B285="",D285=""),"",D285*E285)</f>
        <v/>
      </c>
      <c r="G285" s="32">
        <f>IF(A285="","",IFERROR(INDEX(Pedidos!$L$5:$L$300,MATCH(A285,Pedidos!$A$5:$A$300,0)),"Pedido no existe"))</f>
        <v/>
      </c>
    </row>
    <row r="286" ht="15" customHeight="1" s="19">
      <c r="A286" s="28" t="n"/>
      <c r="B286" s="28" t="n"/>
      <c r="C286" s="32">
        <f>IF(B286="","",IFERROR(INDEX(Inventario!$B$5:$B$200,MATCH(B286,Inventario!$A$5:$A$200,0)),"SKU no existe"))</f>
        <v/>
      </c>
      <c r="D286" s="28" t="n"/>
      <c r="E286" s="33">
        <f>IF(B286="","",IFERROR(INDEX(Inventario!$D$5:$D$200,MATCH(B286,Inventario!$A$5:$A$200,0)),0))</f>
        <v/>
      </c>
      <c r="F286" s="33">
        <f>IF(OR(B286="",D286=""),"",D286*E286)</f>
        <v/>
      </c>
      <c r="G286" s="32">
        <f>IF(A286="","",IFERROR(INDEX(Pedidos!$L$5:$L$300,MATCH(A286,Pedidos!$A$5:$A$300,0)),"Pedido no existe"))</f>
        <v/>
      </c>
    </row>
    <row r="287" ht="15" customHeight="1" s="19">
      <c r="A287" s="28" t="n"/>
      <c r="B287" s="28" t="n"/>
      <c r="C287" s="32">
        <f>IF(B287="","",IFERROR(INDEX(Inventario!$B$5:$B$200,MATCH(B287,Inventario!$A$5:$A$200,0)),"SKU no existe"))</f>
        <v/>
      </c>
      <c r="D287" s="28" t="n"/>
      <c r="E287" s="33">
        <f>IF(B287="","",IFERROR(INDEX(Inventario!$D$5:$D$200,MATCH(B287,Inventario!$A$5:$A$200,0)),0))</f>
        <v/>
      </c>
      <c r="F287" s="33">
        <f>IF(OR(B287="",D287=""),"",D287*E287)</f>
        <v/>
      </c>
      <c r="G287" s="32">
        <f>IF(A287="","",IFERROR(INDEX(Pedidos!$L$5:$L$300,MATCH(A287,Pedidos!$A$5:$A$300,0)),"Pedido no existe"))</f>
        <v/>
      </c>
    </row>
    <row r="288" ht="15" customHeight="1" s="19">
      <c r="A288" s="28" t="n"/>
      <c r="B288" s="28" t="n"/>
      <c r="C288" s="32">
        <f>IF(B288="","",IFERROR(INDEX(Inventario!$B$5:$B$200,MATCH(B288,Inventario!$A$5:$A$200,0)),"SKU no existe"))</f>
        <v/>
      </c>
      <c r="D288" s="28" t="n"/>
      <c r="E288" s="33">
        <f>IF(B288="","",IFERROR(INDEX(Inventario!$D$5:$D$200,MATCH(B288,Inventario!$A$5:$A$200,0)),0))</f>
        <v/>
      </c>
      <c r="F288" s="33">
        <f>IF(OR(B288="",D288=""),"",D288*E288)</f>
        <v/>
      </c>
      <c r="G288" s="32">
        <f>IF(A288="","",IFERROR(INDEX(Pedidos!$L$5:$L$300,MATCH(A288,Pedidos!$A$5:$A$300,0)),"Pedido no existe"))</f>
        <v/>
      </c>
    </row>
    <row r="289" ht="15" customHeight="1" s="19">
      <c r="A289" s="28" t="n"/>
      <c r="B289" s="28" t="n"/>
      <c r="C289" s="32">
        <f>IF(B289="","",IFERROR(INDEX(Inventario!$B$5:$B$200,MATCH(B289,Inventario!$A$5:$A$200,0)),"SKU no existe"))</f>
        <v/>
      </c>
      <c r="D289" s="28" t="n"/>
      <c r="E289" s="33">
        <f>IF(B289="","",IFERROR(INDEX(Inventario!$D$5:$D$200,MATCH(B289,Inventario!$A$5:$A$200,0)),0))</f>
        <v/>
      </c>
      <c r="F289" s="33">
        <f>IF(OR(B289="",D289=""),"",D289*E289)</f>
        <v/>
      </c>
      <c r="G289" s="32">
        <f>IF(A289="","",IFERROR(INDEX(Pedidos!$L$5:$L$300,MATCH(A289,Pedidos!$A$5:$A$300,0)),"Pedido no existe"))</f>
        <v/>
      </c>
    </row>
    <row r="290" ht="15" customHeight="1" s="19">
      <c r="A290" s="28" t="n"/>
      <c r="B290" s="28" t="n"/>
      <c r="C290" s="32">
        <f>IF(B290="","",IFERROR(INDEX(Inventario!$B$5:$B$200,MATCH(B290,Inventario!$A$5:$A$200,0)),"SKU no existe"))</f>
        <v/>
      </c>
      <c r="D290" s="28" t="n"/>
      <c r="E290" s="33">
        <f>IF(B290="","",IFERROR(INDEX(Inventario!$D$5:$D$200,MATCH(B290,Inventario!$A$5:$A$200,0)),0))</f>
        <v/>
      </c>
      <c r="F290" s="33">
        <f>IF(OR(B290="",D290=""),"",D290*E290)</f>
        <v/>
      </c>
      <c r="G290" s="32">
        <f>IF(A290="","",IFERROR(INDEX(Pedidos!$L$5:$L$300,MATCH(A290,Pedidos!$A$5:$A$300,0)),"Pedido no existe"))</f>
        <v/>
      </c>
    </row>
    <row r="291" ht="15" customHeight="1" s="19">
      <c r="A291" s="28" t="n"/>
      <c r="B291" s="28" t="n"/>
      <c r="C291" s="32">
        <f>IF(B291="","",IFERROR(INDEX(Inventario!$B$5:$B$200,MATCH(B291,Inventario!$A$5:$A$200,0)),"SKU no existe"))</f>
        <v/>
      </c>
      <c r="D291" s="28" t="n"/>
      <c r="E291" s="33">
        <f>IF(B291="","",IFERROR(INDEX(Inventario!$D$5:$D$200,MATCH(B291,Inventario!$A$5:$A$200,0)),0))</f>
        <v/>
      </c>
      <c r="F291" s="33">
        <f>IF(OR(B291="",D291=""),"",D291*E291)</f>
        <v/>
      </c>
      <c r="G291" s="32">
        <f>IF(A291="","",IFERROR(INDEX(Pedidos!$L$5:$L$300,MATCH(A291,Pedidos!$A$5:$A$300,0)),"Pedido no existe"))</f>
        <v/>
      </c>
    </row>
    <row r="292" ht="15" customHeight="1" s="19">
      <c r="A292" s="28" t="n"/>
      <c r="B292" s="28" t="n"/>
      <c r="C292" s="32">
        <f>IF(B292="","",IFERROR(INDEX(Inventario!$B$5:$B$200,MATCH(B292,Inventario!$A$5:$A$200,0)),"SKU no existe"))</f>
        <v/>
      </c>
      <c r="D292" s="28" t="n"/>
      <c r="E292" s="33">
        <f>IF(B292="","",IFERROR(INDEX(Inventario!$D$5:$D$200,MATCH(B292,Inventario!$A$5:$A$200,0)),0))</f>
        <v/>
      </c>
      <c r="F292" s="33">
        <f>IF(OR(B292="",D292=""),"",D292*E292)</f>
        <v/>
      </c>
      <c r="G292" s="32">
        <f>IF(A292="","",IFERROR(INDEX(Pedidos!$L$5:$L$300,MATCH(A292,Pedidos!$A$5:$A$300,0)),"Pedido no existe"))</f>
        <v/>
      </c>
    </row>
    <row r="293" ht="15" customHeight="1" s="19">
      <c r="A293" s="28" t="n"/>
      <c r="B293" s="28" t="n"/>
      <c r="C293" s="32">
        <f>IF(B293="","",IFERROR(INDEX(Inventario!$B$5:$B$200,MATCH(B293,Inventario!$A$5:$A$200,0)),"SKU no existe"))</f>
        <v/>
      </c>
      <c r="D293" s="28" t="n"/>
      <c r="E293" s="33">
        <f>IF(B293="","",IFERROR(INDEX(Inventario!$D$5:$D$200,MATCH(B293,Inventario!$A$5:$A$200,0)),0))</f>
        <v/>
      </c>
      <c r="F293" s="33">
        <f>IF(OR(B293="",D293=""),"",D293*E293)</f>
        <v/>
      </c>
      <c r="G293" s="32">
        <f>IF(A293="","",IFERROR(INDEX(Pedidos!$L$5:$L$300,MATCH(A293,Pedidos!$A$5:$A$300,0)),"Pedido no existe"))</f>
        <v/>
      </c>
    </row>
    <row r="294" ht="15" customHeight="1" s="19">
      <c r="A294" s="28" t="n"/>
      <c r="B294" s="28" t="n"/>
      <c r="C294" s="32">
        <f>IF(B294="","",IFERROR(INDEX(Inventario!$B$5:$B$200,MATCH(B294,Inventario!$A$5:$A$200,0)),"SKU no existe"))</f>
        <v/>
      </c>
      <c r="D294" s="28" t="n"/>
      <c r="E294" s="33">
        <f>IF(B294="","",IFERROR(INDEX(Inventario!$D$5:$D$200,MATCH(B294,Inventario!$A$5:$A$200,0)),0))</f>
        <v/>
      </c>
      <c r="F294" s="33">
        <f>IF(OR(B294="",D294=""),"",D294*E294)</f>
        <v/>
      </c>
      <c r="G294" s="32">
        <f>IF(A294="","",IFERROR(INDEX(Pedidos!$L$5:$L$300,MATCH(A294,Pedidos!$A$5:$A$300,0)),"Pedido no existe"))</f>
        <v/>
      </c>
    </row>
    <row r="295" ht="15" customHeight="1" s="19">
      <c r="A295" s="28" t="n"/>
      <c r="B295" s="28" t="n"/>
      <c r="C295" s="32">
        <f>IF(B295="","",IFERROR(INDEX(Inventario!$B$5:$B$200,MATCH(B295,Inventario!$A$5:$A$200,0)),"SKU no existe"))</f>
        <v/>
      </c>
      <c r="D295" s="28" t="n"/>
      <c r="E295" s="33">
        <f>IF(B295="","",IFERROR(INDEX(Inventario!$D$5:$D$200,MATCH(B295,Inventario!$A$5:$A$200,0)),0))</f>
        <v/>
      </c>
      <c r="F295" s="33">
        <f>IF(OR(B295="",D295=""),"",D295*E295)</f>
        <v/>
      </c>
      <c r="G295" s="32">
        <f>IF(A295="","",IFERROR(INDEX(Pedidos!$L$5:$L$300,MATCH(A295,Pedidos!$A$5:$A$300,0)),"Pedido no existe"))</f>
        <v/>
      </c>
    </row>
    <row r="296" ht="15" customHeight="1" s="19">
      <c r="A296" s="28" t="n"/>
      <c r="B296" s="28" t="n"/>
      <c r="C296" s="32">
        <f>IF(B296="","",IFERROR(INDEX(Inventario!$B$5:$B$200,MATCH(B296,Inventario!$A$5:$A$200,0)),"SKU no existe"))</f>
        <v/>
      </c>
      <c r="D296" s="28" t="n"/>
      <c r="E296" s="33">
        <f>IF(B296="","",IFERROR(INDEX(Inventario!$D$5:$D$200,MATCH(B296,Inventario!$A$5:$A$200,0)),0))</f>
        <v/>
      </c>
      <c r="F296" s="33">
        <f>IF(OR(B296="",D296=""),"",D296*E296)</f>
        <v/>
      </c>
      <c r="G296" s="32">
        <f>IF(A296="","",IFERROR(INDEX(Pedidos!$L$5:$L$300,MATCH(A296,Pedidos!$A$5:$A$300,0)),"Pedido no existe"))</f>
        <v/>
      </c>
    </row>
    <row r="297" ht="15" customHeight="1" s="19">
      <c r="A297" s="28" t="n"/>
      <c r="B297" s="28" t="n"/>
      <c r="C297" s="32">
        <f>IF(B297="","",IFERROR(INDEX(Inventario!$B$5:$B$200,MATCH(B297,Inventario!$A$5:$A$200,0)),"SKU no existe"))</f>
        <v/>
      </c>
      <c r="D297" s="28" t="n"/>
      <c r="E297" s="33">
        <f>IF(B297="","",IFERROR(INDEX(Inventario!$D$5:$D$200,MATCH(B297,Inventario!$A$5:$A$200,0)),0))</f>
        <v/>
      </c>
      <c r="F297" s="33">
        <f>IF(OR(B297="",D297=""),"",D297*E297)</f>
        <v/>
      </c>
      <c r="G297" s="32">
        <f>IF(A297="","",IFERROR(INDEX(Pedidos!$L$5:$L$300,MATCH(A297,Pedidos!$A$5:$A$300,0)),"Pedido no existe"))</f>
        <v/>
      </c>
    </row>
    <row r="298" ht="15" customHeight="1" s="19">
      <c r="A298" s="28" t="n"/>
      <c r="B298" s="28" t="n"/>
      <c r="C298" s="32">
        <f>IF(B298="","",IFERROR(INDEX(Inventario!$B$5:$B$200,MATCH(B298,Inventario!$A$5:$A$200,0)),"SKU no existe"))</f>
        <v/>
      </c>
      <c r="D298" s="28" t="n"/>
      <c r="E298" s="33">
        <f>IF(B298="","",IFERROR(INDEX(Inventario!$D$5:$D$200,MATCH(B298,Inventario!$A$5:$A$200,0)),0))</f>
        <v/>
      </c>
      <c r="F298" s="33">
        <f>IF(OR(B298="",D298=""),"",D298*E298)</f>
        <v/>
      </c>
      <c r="G298" s="32">
        <f>IF(A298="","",IFERROR(INDEX(Pedidos!$L$5:$L$300,MATCH(A298,Pedidos!$A$5:$A$300,0)),"Pedido no existe"))</f>
        <v/>
      </c>
    </row>
    <row r="299" ht="15" customHeight="1" s="19">
      <c r="A299" s="28" t="n"/>
      <c r="B299" s="28" t="n"/>
      <c r="C299" s="32">
        <f>IF(B299="","",IFERROR(INDEX(Inventario!$B$5:$B$200,MATCH(B299,Inventario!$A$5:$A$200,0)),"SKU no existe"))</f>
        <v/>
      </c>
      <c r="D299" s="28" t="n"/>
      <c r="E299" s="33">
        <f>IF(B299="","",IFERROR(INDEX(Inventario!$D$5:$D$200,MATCH(B299,Inventario!$A$5:$A$200,0)),0))</f>
        <v/>
      </c>
      <c r="F299" s="33">
        <f>IF(OR(B299="",D299=""),"",D299*E299)</f>
        <v/>
      </c>
      <c r="G299" s="32">
        <f>IF(A299="","",IFERROR(INDEX(Pedidos!$L$5:$L$300,MATCH(A299,Pedidos!$A$5:$A$300,0)),"Pedido no existe"))</f>
        <v/>
      </c>
    </row>
    <row r="300" ht="15" customHeight="1" s="19">
      <c r="A300" s="28" t="n"/>
      <c r="B300" s="28" t="n"/>
      <c r="C300" s="32">
        <f>IF(B300="","",IFERROR(INDEX(Inventario!$B$5:$B$200,MATCH(B300,Inventario!$A$5:$A$200,0)),"SKU no existe"))</f>
        <v/>
      </c>
      <c r="D300" s="28" t="n"/>
      <c r="E300" s="33">
        <f>IF(B300="","",IFERROR(INDEX(Inventario!$D$5:$D$200,MATCH(B300,Inventario!$A$5:$A$200,0)),0))</f>
        <v/>
      </c>
      <c r="F300" s="33">
        <f>IF(OR(B300="",D300=""),"",D300*E300)</f>
        <v/>
      </c>
      <c r="G300" s="32">
        <f>IF(A300="","",IFERROR(INDEX(Pedidos!$L$5:$L$300,MATCH(A300,Pedidos!$A$5:$A$300,0)),"Pedido no existe"))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8" min="1" max="1"/>
    <col width="18" customWidth="1" style="18" min="2" max="2"/>
    <col width="38" customWidth="1" style="18" min="3" max="3"/>
    <col width="18" customWidth="1" style="18" min="4" max="4"/>
    <col width="12" customWidth="1" style="18" min="5" max="5"/>
    <col width="40" customWidth="1" style="18" min="6" max="6"/>
  </cols>
  <sheetData>
    <row r="1" ht="17.35" customHeight="1" s="19">
      <c r="A1" s="20" t="inlineStr">
        <is>
          <t>Movimientos de stock (compras, mermas, ajustes)</t>
        </is>
      </c>
    </row>
    <row r="2" ht="15" customHeight="1" s="19">
      <c r="A2" s="26" t="inlineStr">
        <is>
          <t>Cantidad positiva = entra stock (compra). Cantidad negativa = sale stock (merma, pérdida, regalo).</t>
        </is>
      </c>
    </row>
    <row r="4" ht="31.5" customHeight="1" s="19">
      <c r="A4" s="27" t="inlineStr">
        <is>
          <t>Fecha</t>
        </is>
      </c>
      <c r="B4" s="27" t="inlineStr">
        <is>
          <t>SKU</t>
        </is>
      </c>
      <c r="C4" s="27" t="inlineStr">
        <is>
          <t>Producto</t>
        </is>
      </c>
      <c r="D4" s="27" t="inlineStr">
        <is>
          <t>Cantidad (+ entra / - sale)</t>
        </is>
      </c>
      <c r="E4" s="27" t="inlineStr">
        <is>
          <t>Tipo</t>
        </is>
      </c>
      <c r="F4" s="27" t="inlineStr">
        <is>
          <t>Nota</t>
        </is>
      </c>
    </row>
    <row r="5" ht="15" customHeight="1" s="19">
      <c r="A5" s="35" t="n">
        <v>46309</v>
      </c>
      <c r="B5" s="28" t="inlineStr">
        <is>
          <t>GAS-400-COCA</t>
        </is>
      </c>
      <c r="C5" s="32">
        <f>IF(B5="","",IFERROR(INDEX(Inventario!$B$5:$B$200,MATCH(B5,Inventario!$A$5:$A$200,0)),"SKU no existe"))</f>
        <v/>
      </c>
      <c r="D5" s="28" t="n">
        <v>24</v>
      </c>
      <c r="E5" s="28" t="inlineStr">
        <is>
          <t>Entrada</t>
        </is>
      </c>
      <c r="F5" s="28" t="inlineStr">
        <is>
          <t>Compra a proveedor (EJEMPLO, borrar)</t>
        </is>
      </c>
    </row>
    <row r="6" ht="15" customHeight="1" s="19">
      <c r="A6" s="35" t="n"/>
      <c r="B6" s="28" t="n"/>
      <c r="C6" s="32">
        <f>IF(B6="","",IFERROR(INDEX(Inventario!$B$5:$B$200,MATCH(B6,Inventario!$A$5:$A$200,0)),"SKU no existe"))</f>
        <v/>
      </c>
      <c r="D6" s="28" t="n"/>
      <c r="E6" s="28" t="n"/>
      <c r="F6" s="28" t="n"/>
    </row>
    <row r="7" ht="15" customHeight="1" s="19">
      <c r="A7" s="35" t="n"/>
      <c r="B7" s="28" t="n"/>
      <c r="C7" s="32">
        <f>IF(B7="","",IFERROR(INDEX(Inventario!$B$5:$B$200,MATCH(B7,Inventario!$A$5:$A$200,0)),"SKU no existe"))</f>
        <v/>
      </c>
      <c r="D7" s="28" t="n"/>
      <c r="E7" s="28" t="n"/>
      <c r="F7" s="28" t="n"/>
    </row>
    <row r="8" ht="15" customHeight="1" s="19">
      <c r="A8" s="35" t="n"/>
      <c r="B8" s="28" t="n"/>
      <c r="C8" s="32">
        <f>IF(B8="","",IFERROR(INDEX(Inventario!$B$5:$B$200,MATCH(B8,Inventario!$A$5:$A$200,0)),"SKU no existe"))</f>
        <v/>
      </c>
      <c r="D8" s="28" t="n"/>
      <c r="E8" s="28" t="n"/>
      <c r="F8" s="28" t="n"/>
    </row>
    <row r="9" ht="15" customHeight="1" s="19">
      <c r="A9" s="35" t="n"/>
      <c r="B9" s="28" t="n"/>
      <c r="C9" s="32">
        <f>IF(B9="","",IFERROR(INDEX(Inventario!$B$5:$B$200,MATCH(B9,Inventario!$A$5:$A$200,0)),"SKU no existe"))</f>
        <v/>
      </c>
      <c r="D9" s="28" t="n"/>
      <c r="E9" s="28" t="n"/>
      <c r="F9" s="28" t="n"/>
    </row>
    <row r="10" ht="15" customHeight="1" s="19">
      <c r="A10" s="35" t="n"/>
      <c r="B10" s="28" t="n"/>
      <c r="C10" s="32">
        <f>IF(B10="","",IFERROR(INDEX(Inventario!$B$5:$B$200,MATCH(B10,Inventario!$A$5:$A$200,0)),"SKU no existe"))</f>
        <v/>
      </c>
      <c r="D10" s="28" t="n"/>
      <c r="E10" s="28" t="n"/>
      <c r="F10" s="28" t="n"/>
    </row>
    <row r="11" ht="15" customHeight="1" s="19">
      <c r="A11" s="35" t="n"/>
      <c r="B11" s="28" t="n"/>
      <c r="C11" s="32">
        <f>IF(B11="","",IFERROR(INDEX(Inventario!$B$5:$B$200,MATCH(B11,Inventario!$A$5:$A$200,0)),"SKU no existe"))</f>
        <v/>
      </c>
      <c r="D11" s="28" t="n"/>
      <c r="E11" s="28" t="n"/>
      <c r="F11" s="28" t="n"/>
    </row>
    <row r="12" ht="15" customHeight="1" s="19">
      <c r="A12" s="35" t="n"/>
      <c r="B12" s="28" t="n"/>
      <c r="C12" s="32">
        <f>IF(B12="","",IFERROR(INDEX(Inventario!$B$5:$B$200,MATCH(B12,Inventario!$A$5:$A$200,0)),"SKU no existe"))</f>
        <v/>
      </c>
      <c r="D12" s="28" t="n"/>
      <c r="E12" s="28" t="n"/>
      <c r="F12" s="28" t="n"/>
    </row>
    <row r="13" ht="15" customHeight="1" s="19">
      <c r="A13" s="35" t="n"/>
      <c r="B13" s="28" t="n"/>
      <c r="C13" s="32">
        <f>IF(B13="","",IFERROR(INDEX(Inventario!$B$5:$B$200,MATCH(B13,Inventario!$A$5:$A$200,0)),"SKU no existe"))</f>
        <v/>
      </c>
      <c r="D13" s="28" t="n"/>
      <c r="E13" s="28" t="n"/>
      <c r="F13" s="28" t="n"/>
    </row>
    <row r="14" ht="15" customHeight="1" s="19">
      <c r="A14" s="35" t="n"/>
      <c r="B14" s="28" t="n"/>
      <c r="C14" s="32">
        <f>IF(B14="","",IFERROR(INDEX(Inventario!$B$5:$B$200,MATCH(B14,Inventario!$A$5:$A$200,0)),"SKU no existe"))</f>
        <v/>
      </c>
      <c r="D14" s="28" t="n"/>
      <c r="E14" s="28" t="n"/>
      <c r="F14" s="28" t="n"/>
    </row>
    <row r="15" ht="15" customHeight="1" s="19">
      <c r="A15" s="35" t="n"/>
      <c r="B15" s="28" t="n"/>
      <c r="C15" s="32">
        <f>IF(B15="","",IFERROR(INDEX(Inventario!$B$5:$B$200,MATCH(B15,Inventario!$A$5:$A$200,0)),"SKU no existe"))</f>
        <v/>
      </c>
      <c r="D15" s="28" t="n"/>
      <c r="E15" s="28" t="n"/>
      <c r="F15" s="28" t="n"/>
    </row>
    <row r="16" ht="15" customHeight="1" s="19">
      <c r="A16" s="35" t="n"/>
      <c r="B16" s="28" t="n"/>
      <c r="C16" s="32">
        <f>IF(B16="","",IFERROR(INDEX(Inventario!$B$5:$B$200,MATCH(B16,Inventario!$A$5:$A$200,0)),"SKU no existe"))</f>
        <v/>
      </c>
      <c r="D16" s="28" t="n"/>
      <c r="E16" s="28" t="n"/>
      <c r="F16" s="28" t="n"/>
    </row>
    <row r="17" ht="15" customHeight="1" s="19">
      <c r="A17" s="35" t="n"/>
      <c r="B17" s="28" t="n"/>
      <c r="C17" s="32">
        <f>IF(B17="","",IFERROR(INDEX(Inventario!$B$5:$B$200,MATCH(B17,Inventario!$A$5:$A$200,0)),"SKU no existe"))</f>
        <v/>
      </c>
      <c r="D17" s="28" t="n"/>
      <c r="E17" s="28" t="n"/>
      <c r="F17" s="28" t="n"/>
    </row>
    <row r="18" ht="15" customHeight="1" s="19">
      <c r="A18" s="35" t="n"/>
      <c r="B18" s="28" t="n"/>
      <c r="C18" s="32">
        <f>IF(B18="","",IFERROR(INDEX(Inventario!$B$5:$B$200,MATCH(B18,Inventario!$A$5:$A$200,0)),"SKU no existe"))</f>
        <v/>
      </c>
      <c r="D18" s="28" t="n"/>
      <c r="E18" s="28" t="n"/>
      <c r="F18" s="28" t="n"/>
    </row>
    <row r="19" ht="15" customHeight="1" s="19">
      <c r="A19" s="35" t="n"/>
      <c r="B19" s="28" t="n"/>
      <c r="C19" s="32">
        <f>IF(B19="","",IFERROR(INDEX(Inventario!$B$5:$B$200,MATCH(B19,Inventario!$A$5:$A$200,0)),"SKU no existe"))</f>
        <v/>
      </c>
      <c r="D19" s="28" t="n"/>
      <c r="E19" s="28" t="n"/>
      <c r="F19" s="28" t="n"/>
    </row>
    <row r="20" ht="15" customHeight="1" s="19">
      <c r="A20" s="35" t="n"/>
      <c r="B20" s="28" t="n"/>
      <c r="C20" s="32">
        <f>IF(B20="","",IFERROR(INDEX(Inventario!$B$5:$B$200,MATCH(B20,Inventario!$A$5:$A$200,0)),"SKU no existe"))</f>
        <v/>
      </c>
      <c r="D20" s="28" t="n"/>
      <c r="E20" s="28" t="n"/>
      <c r="F20" s="28" t="n"/>
    </row>
    <row r="21" ht="15" customHeight="1" s="19">
      <c r="A21" s="35" t="n"/>
      <c r="B21" s="28" t="n"/>
      <c r="C21" s="32">
        <f>IF(B21="","",IFERROR(INDEX(Inventario!$B$5:$B$200,MATCH(B21,Inventario!$A$5:$A$200,0)),"SKU no existe"))</f>
        <v/>
      </c>
      <c r="D21" s="28" t="n"/>
      <c r="E21" s="28" t="n"/>
      <c r="F21" s="28" t="n"/>
    </row>
    <row r="22" ht="15" customHeight="1" s="19">
      <c r="A22" s="35" t="n"/>
      <c r="B22" s="28" t="n"/>
      <c r="C22" s="32">
        <f>IF(B22="","",IFERROR(INDEX(Inventario!$B$5:$B$200,MATCH(B22,Inventario!$A$5:$A$200,0)),"SKU no existe"))</f>
        <v/>
      </c>
      <c r="D22" s="28" t="n"/>
      <c r="E22" s="28" t="n"/>
      <c r="F22" s="28" t="n"/>
    </row>
    <row r="23" ht="15" customHeight="1" s="19">
      <c r="A23" s="35" t="n"/>
      <c r="B23" s="28" t="n"/>
      <c r="C23" s="32">
        <f>IF(B23="","",IFERROR(INDEX(Inventario!$B$5:$B$200,MATCH(B23,Inventario!$A$5:$A$200,0)),"SKU no existe"))</f>
        <v/>
      </c>
      <c r="D23" s="28" t="n"/>
      <c r="E23" s="28" t="n"/>
      <c r="F23" s="28" t="n"/>
    </row>
    <row r="24" ht="15" customHeight="1" s="19">
      <c r="A24" s="35" t="n"/>
      <c r="B24" s="28" t="n"/>
      <c r="C24" s="32">
        <f>IF(B24="","",IFERROR(INDEX(Inventario!$B$5:$B$200,MATCH(B24,Inventario!$A$5:$A$200,0)),"SKU no existe"))</f>
        <v/>
      </c>
      <c r="D24" s="28" t="n"/>
      <c r="E24" s="28" t="n"/>
      <c r="F24" s="28" t="n"/>
    </row>
    <row r="25" ht="15" customHeight="1" s="19">
      <c r="A25" s="35" t="n"/>
      <c r="B25" s="28" t="n"/>
      <c r="C25" s="32">
        <f>IF(B25="","",IFERROR(INDEX(Inventario!$B$5:$B$200,MATCH(B25,Inventario!$A$5:$A$200,0)),"SKU no existe"))</f>
        <v/>
      </c>
      <c r="D25" s="28" t="n"/>
      <c r="E25" s="28" t="n"/>
      <c r="F25" s="28" t="n"/>
    </row>
    <row r="26" ht="15" customHeight="1" s="19">
      <c r="A26" s="35" t="n"/>
      <c r="B26" s="28" t="n"/>
      <c r="C26" s="32">
        <f>IF(B26="","",IFERROR(INDEX(Inventario!$B$5:$B$200,MATCH(B26,Inventario!$A$5:$A$200,0)),"SKU no existe"))</f>
        <v/>
      </c>
      <c r="D26" s="28" t="n"/>
      <c r="E26" s="28" t="n"/>
      <c r="F26" s="28" t="n"/>
    </row>
    <row r="27" ht="15" customHeight="1" s="19">
      <c r="A27" s="35" t="n"/>
      <c r="B27" s="28" t="n"/>
      <c r="C27" s="32">
        <f>IF(B27="","",IFERROR(INDEX(Inventario!$B$5:$B$200,MATCH(B27,Inventario!$A$5:$A$200,0)),"SKU no existe"))</f>
        <v/>
      </c>
      <c r="D27" s="28" t="n"/>
      <c r="E27" s="28" t="n"/>
      <c r="F27" s="28" t="n"/>
    </row>
    <row r="28" ht="15" customHeight="1" s="19">
      <c r="A28" s="35" t="n"/>
      <c r="B28" s="28" t="n"/>
      <c r="C28" s="32">
        <f>IF(B28="","",IFERROR(INDEX(Inventario!$B$5:$B$200,MATCH(B28,Inventario!$A$5:$A$200,0)),"SKU no existe"))</f>
        <v/>
      </c>
      <c r="D28" s="28" t="n"/>
      <c r="E28" s="28" t="n"/>
      <c r="F28" s="28" t="n"/>
    </row>
    <row r="29" ht="15" customHeight="1" s="19">
      <c r="A29" s="35" t="n"/>
      <c r="B29" s="28" t="n"/>
      <c r="C29" s="32">
        <f>IF(B29="","",IFERROR(INDEX(Inventario!$B$5:$B$200,MATCH(B29,Inventario!$A$5:$A$200,0)),"SKU no existe"))</f>
        <v/>
      </c>
      <c r="D29" s="28" t="n"/>
      <c r="E29" s="28" t="n"/>
      <c r="F29" s="28" t="n"/>
    </row>
    <row r="30" ht="15" customHeight="1" s="19">
      <c r="A30" s="35" t="n"/>
      <c r="B30" s="28" t="n"/>
      <c r="C30" s="32">
        <f>IF(B30="","",IFERROR(INDEX(Inventario!$B$5:$B$200,MATCH(B30,Inventario!$A$5:$A$200,0)),"SKU no existe"))</f>
        <v/>
      </c>
      <c r="D30" s="28" t="n"/>
      <c r="E30" s="28" t="n"/>
      <c r="F30" s="28" t="n"/>
    </row>
    <row r="31" ht="15" customHeight="1" s="19">
      <c r="A31" s="35" t="n"/>
      <c r="B31" s="28" t="n"/>
      <c r="C31" s="32">
        <f>IF(B31="","",IFERROR(INDEX(Inventario!$B$5:$B$200,MATCH(B31,Inventario!$A$5:$A$200,0)),"SKU no existe"))</f>
        <v/>
      </c>
      <c r="D31" s="28" t="n"/>
      <c r="E31" s="28" t="n"/>
      <c r="F31" s="28" t="n"/>
    </row>
    <row r="32" ht="15" customHeight="1" s="19">
      <c r="A32" s="35" t="n"/>
      <c r="B32" s="28" t="n"/>
      <c r="C32" s="32">
        <f>IF(B32="","",IFERROR(INDEX(Inventario!$B$5:$B$200,MATCH(B32,Inventario!$A$5:$A$200,0)),"SKU no existe"))</f>
        <v/>
      </c>
      <c r="D32" s="28" t="n"/>
      <c r="E32" s="28" t="n"/>
      <c r="F32" s="28" t="n"/>
    </row>
    <row r="33" ht="15" customHeight="1" s="19">
      <c r="A33" s="35" t="n"/>
      <c r="B33" s="28" t="n"/>
      <c r="C33" s="32">
        <f>IF(B33="","",IFERROR(INDEX(Inventario!$B$5:$B$200,MATCH(B33,Inventario!$A$5:$A$200,0)),"SKU no existe"))</f>
        <v/>
      </c>
      <c r="D33" s="28" t="n"/>
      <c r="E33" s="28" t="n"/>
      <c r="F33" s="28" t="n"/>
    </row>
    <row r="34" ht="15" customHeight="1" s="19">
      <c r="A34" s="35" t="n"/>
      <c r="B34" s="28" t="n"/>
      <c r="C34" s="32">
        <f>IF(B34="","",IFERROR(INDEX(Inventario!$B$5:$B$200,MATCH(B34,Inventario!$A$5:$A$200,0)),"SKU no existe"))</f>
        <v/>
      </c>
      <c r="D34" s="28" t="n"/>
      <c r="E34" s="28" t="n"/>
      <c r="F34" s="28" t="n"/>
    </row>
    <row r="35" ht="15" customHeight="1" s="19">
      <c r="A35" s="35" t="n"/>
      <c r="B35" s="28" t="n"/>
      <c r="C35" s="32">
        <f>IF(B35="","",IFERROR(INDEX(Inventario!$B$5:$B$200,MATCH(B35,Inventario!$A$5:$A$200,0)),"SKU no existe"))</f>
        <v/>
      </c>
      <c r="D35" s="28" t="n"/>
      <c r="E35" s="28" t="n"/>
      <c r="F35" s="28" t="n"/>
    </row>
    <row r="36" ht="15" customHeight="1" s="19">
      <c r="A36" s="35" t="n"/>
      <c r="B36" s="28" t="n"/>
      <c r="C36" s="32">
        <f>IF(B36="","",IFERROR(INDEX(Inventario!$B$5:$B$200,MATCH(B36,Inventario!$A$5:$A$200,0)),"SKU no existe"))</f>
        <v/>
      </c>
      <c r="D36" s="28" t="n"/>
      <c r="E36" s="28" t="n"/>
      <c r="F36" s="28" t="n"/>
    </row>
    <row r="37" ht="15" customHeight="1" s="19">
      <c r="A37" s="35" t="n"/>
      <c r="B37" s="28" t="n"/>
      <c r="C37" s="32">
        <f>IF(B37="","",IFERROR(INDEX(Inventario!$B$5:$B$200,MATCH(B37,Inventario!$A$5:$A$200,0)),"SKU no existe"))</f>
        <v/>
      </c>
      <c r="D37" s="28" t="n"/>
      <c r="E37" s="28" t="n"/>
      <c r="F37" s="28" t="n"/>
    </row>
    <row r="38" ht="15" customHeight="1" s="19">
      <c r="A38" s="35" t="n"/>
      <c r="B38" s="28" t="n"/>
      <c r="C38" s="32">
        <f>IF(B38="","",IFERROR(INDEX(Inventario!$B$5:$B$200,MATCH(B38,Inventario!$A$5:$A$200,0)),"SKU no existe"))</f>
        <v/>
      </c>
      <c r="D38" s="28" t="n"/>
      <c r="E38" s="28" t="n"/>
      <c r="F38" s="28" t="n"/>
    </row>
    <row r="39" ht="15" customHeight="1" s="19">
      <c r="A39" s="35" t="n"/>
      <c r="B39" s="28" t="n"/>
      <c r="C39" s="32">
        <f>IF(B39="","",IFERROR(INDEX(Inventario!$B$5:$B$200,MATCH(B39,Inventario!$A$5:$A$200,0)),"SKU no existe"))</f>
        <v/>
      </c>
      <c r="D39" s="28" t="n"/>
      <c r="E39" s="28" t="n"/>
      <c r="F39" s="28" t="n"/>
    </row>
    <row r="40" ht="15" customHeight="1" s="19">
      <c r="A40" s="35" t="n"/>
      <c r="B40" s="28" t="n"/>
      <c r="C40" s="32">
        <f>IF(B40="","",IFERROR(INDEX(Inventario!$B$5:$B$200,MATCH(B40,Inventario!$A$5:$A$200,0)),"SKU no existe"))</f>
        <v/>
      </c>
      <c r="D40" s="28" t="n"/>
      <c r="E40" s="28" t="n"/>
      <c r="F40" s="28" t="n"/>
    </row>
    <row r="41" ht="15" customHeight="1" s="19">
      <c r="A41" s="35" t="n"/>
      <c r="B41" s="28" t="n"/>
      <c r="C41" s="32">
        <f>IF(B41="","",IFERROR(INDEX(Inventario!$B$5:$B$200,MATCH(B41,Inventario!$A$5:$A$200,0)),"SKU no existe"))</f>
        <v/>
      </c>
      <c r="D41" s="28" t="n"/>
      <c r="E41" s="28" t="n"/>
      <c r="F41" s="28" t="n"/>
    </row>
    <row r="42" ht="15" customHeight="1" s="19">
      <c r="A42" s="35" t="n"/>
      <c r="B42" s="28" t="n"/>
      <c r="C42" s="32">
        <f>IF(B42="","",IFERROR(INDEX(Inventario!$B$5:$B$200,MATCH(B42,Inventario!$A$5:$A$200,0)),"SKU no existe"))</f>
        <v/>
      </c>
      <c r="D42" s="28" t="n"/>
      <c r="E42" s="28" t="n"/>
      <c r="F42" s="28" t="n"/>
    </row>
    <row r="43" ht="15" customHeight="1" s="19">
      <c r="A43" s="35" t="n"/>
      <c r="B43" s="28" t="n"/>
      <c r="C43" s="32">
        <f>IF(B43="","",IFERROR(INDEX(Inventario!$B$5:$B$200,MATCH(B43,Inventario!$A$5:$A$200,0)),"SKU no existe"))</f>
        <v/>
      </c>
      <c r="D43" s="28" t="n"/>
      <c r="E43" s="28" t="n"/>
      <c r="F43" s="28" t="n"/>
    </row>
    <row r="44" ht="15" customHeight="1" s="19">
      <c r="A44" s="35" t="n"/>
      <c r="B44" s="28" t="n"/>
      <c r="C44" s="32">
        <f>IF(B44="","",IFERROR(INDEX(Inventario!$B$5:$B$200,MATCH(B44,Inventario!$A$5:$A$200,0)),"SKU no existe"))</f>
        <v/>
      </c>
      <c r="D44" s="28" t="n"/>
      <c r="E44" s="28" t="n"/>
      <c r="F44" s="28" t="n"/>
    </row>
    <row r="45" ht="15" customHeight="1" s="19">
      <c r="A45" s="35" t="n"/>
      <c r="B45" s="28" t="n"/>
      <c r="C45" s="32">
        <f>IF(B45="","",IFERROR(INDEX(Inventario!$B$5:$B$200,MATCH(B45,Inventario!$A$5:$A$200,0)),"SKU no existe"))</f>
        <v/>
      </c>
      <c r="D45" s="28" t="n"/>
      <c r="E45" s="28" t="n"/>
      <c r="F45" s="28" t="n"/>
    </row>
    <row r="46" ht="15" customHeight="1" s="19">
      <c r="A46" s="35" t="n"/>
      <c r="B46" s="28" t="n"/>
      <c r="C46" s="32">
        <f>IF(B46="","",IFERROR(INDEX(Inventario!$B$5:$B$200,MATCH(B46,Inventario!$A$5:$A$200,0)),"SKU no existe"))</f>
        <v/>
      </c>
      <c r="D46" s="28" t="n"/>
      <c r="E46" s="28" t="n"/>
      <c r="F46" s="28" t="n"/>
    </row>
    <row r="47" ht="15" customHeight="1" s="19">
      <c r="A47" s="35" t="n"/>
      <c r="B47" s="28" t="n"/>
      <c r="C47" s="32">
        <f>IF(B47="","",IFERROR(INDEX(Inventario!$B$5:$B$200,MATCH(B47,Inventario!$A$5:$A$200,0)),"SKU no existe"))</f>
        <v/>
      </c>
      <c r="D47" s="28" t="n"/>
      <c r="E47" s="28" t="n"/>
      <c r="F47" s="28" t="n"/>
    </row>
    <row r="48" ht="15" customHeight="1" s="19">
      <c r="A48" s="35" t="n"/>
      <c r="B48" s="28" t="n"/>
      <c r="C48" s="32">
        <f>IF(B48="","",IFERROR(INDEX(Inventario!$B$5:$B$200,MATCH(B48,Inventario!$A$5:$A$200,0)),"SKU no existe"))</f>
        <v/>
      </c>
      <c r="D48" s="28" t="n"/>
      <c r="E48" s="28" t="n"/>
      <c r="F48" s="28" t="n"/>
    </row>
    <row r="49" ht="15" customHeight="1" s="19">
      <c r="A49" s="35" t="n"/>
      <c r="B49" s="28" t="n"/>
      <c r="C49" s="32">
        <f>IF(B49="","",IFERROR(INDEX(Inventario!$B$5:$B$200,MATCH(B49,Inventario!$A$5:$A$200,0)),"SKU no existe"))</f>
        <v/>
      </c>
      <c r="D49" s="28" t="n"/>
      <c r="E49" s="28" t="n"/>
      <c r="F49" s="28" t="n"/>
    </row>
    <row r="50" ht="15" customHeight="1" s="19">
      <c r="A50" s="35" t="n"/>
      <c r="B50" s="28" t="n"/>
      <c r="C50" s="32">
        <f>IF(B50="","",IFERROR(INDEX(Inventario!$B$5:$B$200,MATCH(B50,Inventario!$A$5:$A$200,0)),"SKU no existe"))</f>
        <v/>
      </c>
      <c r="D50" s="28" t="n"/>
      <c r="E50" s="28" t="n"/>
      <c r="F50" s="28" t="n"/>
    </row>
    <row r="51" ht="15" customHeight="1" s="19">
      <c r="A51" s="35" t="n"/>
      <c r="B51" s="28" t="n"/>
      <c r="C51" s="32">
        <f>IF(B51="","",IFERROR(INDEX(Inventario!$B$5:$B$200,MATCH(B51,Inventario!$A$5:$A$200,0)),"SKU no existe"))</f>
        <v/>
      </c>
      <c r="D51" s="28" t="n"/>
      <c r="E51" s="28" t="n"/>
      <c r="F51" s="28" t="n"/>
    </row>
    <row r="52" ht="15" customHeight="1" s="19">
      <c r="A52" s="35" t="n"/>
      <c r="B52" s="28" t="n"/>
      <c r="C52" s="32">
        <f>IF(B52="","",IFERROR(INDEX(Inventario!$B$5:$B$200,MATCH(B52,Inventario!$A$5:$A$200,0)),"SKU no existe"))</f>
        <v/>
      </c>
      <c r="D52" s="28" t="n"/>
      <c r="E52" s="28" t="n"/>
      <c r="F52" s="28" t="n"/>
    </row>
    <row r="53" ht="15" customHeight="1" s="19">
      <c r="A53" s="35" t="n"/>
      <c r="B53" s="28" t="n"/>
      <c r="C53" s="32">
        <f>IF(B53="","",IFERROR(INDEX(Inventario!$B$5:$B$200,MATCH(B53,Inventario!$A$5:$A$200,0)),"SKU no existe"))</f>
        <v/>
      </c>
      <c r="D53" s="28" t="n"/>
      <c r="E53" s="28" t="n"/>
      <c r="F53" s="28" t="n"/>
    </row>
    <row r="54" ht="15" customHeight="1" s="19">
      <c r="A54" s="35" t="n"/>
      <c r="B54" s="28" t="n"/>
      <c r="C54" s="32">
        <f>IF(B54="","",IFERROR(INDEX(Inventario!$B$5:$B$200,MATCH(B54,Inventario!$A$5:$A$200,0)),"SKU no existe"))</f>
        <v/>
      </c>
      <c r="D54" s="28" t="n"/>
      <c r="E54" s="28" t="n"/>
      <c r="F54" s="28" t="n"/>
    </row>
    <row r="55" ht="15" customHeight="1" s="19">
      <c r="A55" s="35" t="n"/>
      <c r="B55" s="28" t="n"/>
      <c r="C55" s="32">
        <f>IF(B55="","",IFERROR(INDEX(Inventario!$B$5:$B$200,MATCH(B55,Inventario!$A$5:$A$200,0)),"SKU no existe"))</f>
        <v/>
      </c>
      <c r="D55" s="28" t="n"/>
      <c r="E55" s="28" t="n"/>
      <c r="F55" s="28" t="n"/>
    </row>
    <row r="56" ht="15" customHeight="1" s="19">
      <c r="A56" s="35" t="n"/>
      <c r="B56" s="28" t="n"/>
      <c r="C56" s="32">
        <f>IF(B56="","",IFERROR(INDEX(Inventario!$B$5:$B$200,MATCH(B56,Inventario!$A$5:$A$200,0)),"SKU no existe"))</f>
        <v/>
      </c>
      <c r="D56" s="28" t="n"/>
      <c r="E56" s="28" t="n"/>
      <c r="F56" s="28" t="n"/>
    </row>
    <row r="57" ht="15" customHeight="1" s="19">
      <c r="A57" s="35" t="n"/>
      <c r="B57" s="28" t="n"/>
      <c r="C57" s="32">
        <f>IF(B57="","",IFERROR(INDEX(Inventario!$B$5:$B$200,MATCH(B57,Inventario!$A$5:$A$200,0)),"SKU no existe"))</f>
        <v/>
      </c>
      <c r="D57" s="28" t="n"/>
      <c r="E57" s="28" t="n"/>
      <c r="F57" s="28" t="n"/>
    </row>
    <row r="58" ht="15" customHeight="1" s="19">
      <c r="A58" s="35" t="n"/>
      <c r="B58" s="28" t="n"/>
      <c r="C58" s="32">
        <f>IF(B58="","",IFERROR(INDEX(Inventario!$B$5:$B$200,MATCH(B58,Inventario!$A$5:$A$200,0)),"SKU no existe"))</f>
        <v/>
      </c>
      <c r="D58" s="28" t="n"/>
      <c r="E58" s="28" t="n"/>
      <c r="F58" s="28" t="n"/>
    </row>
    <row r="59" ht="15" customHeight="1" s="19">
      <c r="A59" s="35" t="n"/>
      <c r="B59" s="28" t="n"/>
      <c r="C59" s="32">
        <f>IF(B59="","",IFERROR(INDEX(Inventario!$B$5:$B$200,MATCH(B59,Inventario!$A$5:$A$200,0)),"SKU no existe"))</f>
        <v/>
      </c>
      <c r="D59" s="28" t="n"/>
      <c r="E59" s="28" t="n"/>
      <c r="F59" s="28" t="n"/>
    </row>
    <row r="60" ht="15" customHeight="1" s="19">
      <c r="A60" s="35" t="n"/>
      <c r="B60" s="28" t="n"/>
      <c r="C60" s="32">
        <f>IF(B60="","",IFERROR(INDEX(Inventario!$B$5:$B$200,MATCH(B60,Inventario!$A$5:$A$200,0)),"SKU no existe"))</f>
        <v/>
      </c>
      <c r="D60" s="28" t="n"/>
      <c r="E60" s="28" t="n"/>
      <c r="F60" s="28" t="n"/>
    </row>
    <row r="61" ht="15" customHeight="1" s="19">
      <c r="A61" s="35" t="n"/>
      <c r="B61" s="28" t="n"/>
      <c r="C61" s="32">
        <f>IF(B61="","",IFERROR(INDEX(Inventario!$B$5:$B$200,MATCH(B61,Inventario!$A$5:$A$200,0)),"SKU no existe"))</f>
        <v/>
      </c>
      <c r="D61" s="28" t="n"/>
      <c r="E61" s="28" t="n"/>
      <c r="F61" s="28" t="n"/>
    </row>
    <row r="62" ht="15" customHeight="1" s="19">
      <c r="A62" s="35" t="n"/>
      <c r="B62" s="28" t="n"/>
      <c r="C62" s="32">
        <f>IF(B62="","",IFERROR(INDEX(Inventario!$B$5:$B$200,MATCH(B62,Inventario!$A$5:$A$200,0)),"SKU no existe"))</f>
        <v/>
      </c>
      <c r="D62" s="28" t="n"/>
      <c r="E62" s="28" t="n"/>
      <c r="F62" s="28" t="n"/>
    </row>
    <row r="63" ht="15" customHeight="1" s="19">
      <c r="A63" s="35" t="n"/>
      <c r="B63" s="28" t="n"/>
      <c r="C63" s="32">
        <f>IF(B63="","",IFERROR(INDEX(Inventario!$B$5:$B$200,MATCH(B63,Inventario!$A$5:$A$200,0)),"SKU no existe"))</f>
        <v/>
      </c>
      <c r="D63" s="28" t="n"/>
      <c r="E63" s="28" t="n"/>
      <c r="F63" s="28" t="n"/>
    </row>
    <row r="64" ht="15" customHeight="1" s="19">
      <c r="A64" s="35" t="n"/>
      <c r="B64" s="28" t="n"/>
      <c r="C64" s="32">
        <f>IF(B64="","",IFERROR(INDEX(Inventario!$B$5:$B$200,MATCH(B64,Inventario!$A$5:$A$200,0)),"SKU no existe"))</f>
        <v/>
      </c>
      <c r="D64" s="28" t="n"/>
      <c r="E64" s="28" t="n"/>
      <c r="F64" s="28" t="n"/>
    </row>
    <row r="65" ht="15" customHeight="1" s="19">
      <c r="A65" s="35" t="n"/>
      <c r="B65" s="28" t="n"/>
      <c r="C65" s="32">
        <f>IF(B65="","",IFERROR(INDEX(Inventario!$B$5:$B$200,MATCH(B65,Inventario!$A$5:$A$200,0)),"SKU no existe"))</f>
        <v/>
      </c>
      <c r="D65" s="28" t="n"/>
      <c r="E65" s="28" t="n"/>
      <c r="F65" s="28" t="n"/>
    </row>
    <row r="66" ht="15" customHeight="1" s="19">
      <c r="A66" s="35" t="n"/>
      <c r="B66" s="28" t="n"/>
      <c r="C66" s="32">
        <f>IF(B66="","",IFERROR(INDEX(Inventario!$B$5:$B$200,MATCH(B66,Inventario!$A$5:$A$200,0)),"SKU no existe"))</f>
        <v/>
      </c>
      <c r="D66" s="28" t="n"/>
      <c r="E66" s="28" t="n"/>
      <c r="F66" s="28" t="n"/>
    </row>
    <row r="67" ht="15" customHeight="1" s="19">
      <c r="A67" s="35" t="n"/>
      <c r="B67" s="28" t="n"/>
      <c r="C67" s="32">
        <f>IF(B67="","",IFERROR(INDEX(Inventario!$B$5:$B$200,MATCH(B67,Inventario!$A$5:$A$200,0)),"SKU no existe"))</f>
        <v/>
      </c>
      <c r="D67" s="28" t="n"/>
      <c r="E67" s="28" t="n"/>
      <c r="F67" s="28" t="n"/>
    </row>
    <row r="68" ht="15" customHeight="1" s="19">
      <c r="A68" s="35" t="n"/>
      <c r="B68" s="28" t="n"/>
      <c r="C68" s="32">
        <f>IF(B68="","",IFERROR(INDEX(Inventario!$B$5:$B$200,MATCH(B68,Inventario!$A$5:$A$200,0)),"SKU no existe"))</f>
        <v/>
      </c>
      <c r="D68" s="28" t="n"/>
      <c r="E68" s="28" t="n"/>
      <c r="F68" s="28" t="n"/>
    </row>
    <row r="69" ht="15" customHeight="1" s="19">
      <c r="A69" s="35" t="n"/>
      <c r="B69" s="28" t="n"/>
      <c r="C69" s="32">
        <f>IF(B69="","",IFERROR(INDEX(Inventario!$B$5:$B$200,MATCH(B69,Inventario!$A$5:$A$200,0)),"SKU no existe"))</f>
        <v/>
      </c>
      <c r="D69" s="28" t="n"/>
      <c r="E69" s="28" t="n"/>
      <c r="F69" s="28" t="n"/>
    </row>
    <row r="70" ht="15" customHeight="1" s="19">
      <c r="A70" s="35" t="n"/>
      <c r="B70" s="28" t="n"/>
      <c r="C70" s="32">
        <f>IF(B70="","",IFERROR(INDEX(Inventario!$B$5:$B$200,MATCH(B70,Inventario!$A$5:$A$200,0)),"SKU no existe"))</f>
        <v/>
      </c>
      <c r="D70" s="28" t="n"/>
      <c r="E70" s="28" t="n"/>
      <c r="F70" s="28" t="n"/>
    </row>
    <row r="71" ht="15" customHeight="1" s="19">
      <c r="A71" s="35" t="n"/>
      <c r="B71" s="28" t="n"/>
      <c r="C71" s="32">
        <f>IF(B71="","",IFERROR(INDEX(Inventario!$B$5:$B$200,MATCH(B71,Inventario!$A$5:$A$200,0)),"SKU no existe"))</f>
        <v/>
      </c>
      <c r="D71" s="28" t="n"/>
      <c r="E71" s="28" t="n"/>
      <c r="F71" s="28" t="n"/>
    </row>
    <row r="72" ht="15" customHeight="1" s="19">
      <c r="A72" s="35" t="n"/>
      <c r="B72" s="28" t="n"/>
      <c r="C72" s="32">
        <f>IF(B72="","",IFERROR(INDEX(Inventario!$B$5:$B$200,MATCH(B72,Inventario!$A$5:$A$200,0)),"SKU no existe"))</f>
        <v/>
      </c>
      <c r="D72" s="28" t="n"/>
      <c r="E72" s="28" t="n"/>
      <c r="F72" s="28" t="n"/>
    </row>
    <row r="73" ht="15" customHeight="1" s="19">
      <c r="A73" s="35" t="n"/>
      <c r="B73" s="28" t="n"/>
      <c r="C73" s="32">
        <f>IF(B73="","",IFERROR(INDEX(Inventario!$B$5:$B$200,MATCH(B73,Inventario!$A$5:$A$200,0)),"SKU no existe"))</f>
        <v/>
      </c>
      <c r="D73" s="28" t="n"/>
      <c r="E73" s="28" t="n"/>
      <c r="F73" s="28" t="n"/>
    </row>
    <row r="74" ht="15" customHeight="1" s="19">
      <c r="A74" s="35" t="n"/>
      <c r="B74" s="28" t="n"/>
      <c r="C74" s="32">
        <f>IF(B74="","",IFERROR(INDEX(Inventario!$B$5:$B$200,MATCH(B74,Inventario!$A$5:$A$200,0)),"SKU no existe"))</f>
        <v/>
      </c>
      <c r="D74" s="28" t="n"/>
      <c r="E74" s="28" t="n"/>
      <c r="F74" s="28" t="n"/>
    </row>
    <row r="75" ht="15" customHeight="1" s="19">
      <c r="A75" s="35" t="n"/>
      <c r="B75" s="28" t="n"/>
      <c r="C75" s="32">
        <f>IF(B75="","",IFERROR(INDEX(Inventario!$B$5:$B$200,MATCH(B75,Inventario!$A$5:$A$200,0)),"SKU no existe"))</f>
        <v/>
      </c>
      <c r="D75" s="28" t="n"/>
      <c r="E75" s="28" t="n"/>
      <c r="F75" s="28" t="n"/>
    </row>
    <row r="76" ht="15" customHeight="1" s="19">
      <c r="A76" s="35" t="n"/>
      <c r="B76" s="28" t="n"/>
      <c r="C76" s="32">
        <f>IF(B76="","",IFERROR(INDEX(Inventario!$B$5:$B$200,MATCH(B76,Inventario!$A$5:$A$200,0)),"SKU no existe"))</f>
        <v/>
      </c>
      <c r="D76" s="28" t="n"/>
      <c r="E76" s="28" t="n"/>
      <c r="F76" s="28" t="n"/>
    </row>
    <row r="77" ht="15" customHeight="1" s="19">
      <c r="A77" s="35" t="n"/>
      <c r="B77" s="28" t="n"/>
      <c r="C77" s="32">
        <f>IF(B77="","",IFERROR(INDEX(Inventario!$B$5:$B$200,MATCH(B77,Inventario!$A$5:$A$200,0)),"SKU no existe"))</f>
        <v/>
      </c>
      <c r="D77" s="28" t="n"/>
      <c r="E77" s="28" t="n"/>
      <c r="F77" s="28" t="n"/>
    </row>
    <row r="78" ht="15" customHeight="1" s="19">
      <c r="A78" s="35" t="n"/>
      <c r="B78" s="28" t="n"/>
      <c r="C78" s="32">
        <f>IF(B78="","",IFERROR(INDEX(Inventario!$B$5:$B$200,MATCH(B78,Inventario!$A$5:$A$200,0)),"SKU no existe"))</f>
        <v/>
      </c>
      <c r="D78" s="28" t="n"/>
      <c r="E78" s="28" t="n"/>
      <c r="F78" s="28" t="n"/>
    </row>
    <row r="79" ht="15" customHeight="1" s="19">
      <c r="A79" s="35" t="n"/>
      <c r="B79" s="28" t="n"/>
      <c r="C79" s="32">
        <f>IF(B79="","",IFERROR(INDEX(Inventario!$B$5:$B$200,MATCH(B79,Inventario!$A$5:$A$200,0)),"SKU no existe"))</f>
        <v/>
      </c>
      <c r="D79" s="28" t="n"/>
      <c r="E79" s="28" t="n"/>
      <c r="F79" s="28" t="n"/>
    </row>
    <row r="80" ht="15" customHeight="1" s="19">
      <c r="A80" s="35" t="n"/>
      <c r="B80" s="28" t="n"/>
      <c r="C80" s="32">
        <f>IF(B80="","",IFERROR(INDEX(Inventario!$B$5:$B$200,MATCH(B80,Inventario!$A$5:$A$200,0)),"SKU no existe"))</f>
        <v/>
      </c>
      <c r="D80" s="28" t="n"/>
      <c r="E80" s="28" t="n"/>
      <c r="F80" s="28" t="n"/>
    </row>
    <row r="81" ht="15" customHeight="1" s="19">
      <c r="A81" s="35" t="n"/>
      <c r="B81" s="28" t="n"/>
      <c r="C81" s="32">
        <f>IF(B81="","",IFERROR(INDEX(Inventario!$B$5:$B$200,MATCH(B81,Inventario!$A$5:$A$200,0)),"SKU no existe"))</f>
        <v/>
      </c>
      <c r="D81" s="28" t="n"/>
      <c r="E81" s="28" t="n"/>
      <c r="F81" s="28" t="n"/>
    </row>
    <row r="82" ht="15" customHeight="1" s="19">
      <c r="A82" s="35" t="n"/>
      <c r="B82" s="28" t="n"/>
      <c r="C82" s="32">
        <f>IF(B82="","",IFERROR(INDEX(Inventario!$B$5:$B$200,MATCH(B82,Inventario!$A$5:$A$200,0)),"SKU no existe"))</f>
        <v/>
      </c>
      <c r="D82" s="28" t="n"/>
      <c r="E82" s="28" t="n"/>
      <c r="F82" s="28" t="n"/>
    </row>
    <row r="83" ht="15" customHeight="1" s="19">
      <c r="A83" s="35" t="n"/>
      <c r="B83" s="28" t="n"/>
      <c r="C83" s="32">
        <f>IF(B83="","",IFERROR(INDEX(Inventario!$B$5:$B$200,MATCH(B83,Inventario!$A$5:$A$200,0)),"SKU no existe"))</f>
        <v/>
      </c>
      <c r="D83" s="28" t="n"/>
      <c r="E83" s="28" t="n"/>
      <c r="F83" s="28" t="n"/>
    </row>
    <row r="84" ht="15" customHeight="1" s="19">
      <c r="A84" s="35" t="n"/>
      <c r="B84" s="28" t="n"/>
      <c r="C84" s="32">
        <f>IF(B84="","",IFERROR(INDEX(Inventario!$B$5:$B$200,MATCH(B84,Inventario!$A$5:$A$200,0)),"SKU no existe"))</f>
        <v/>
      </c>
      <c r="D84" s="28" t="n"/>
      <c r="E84" s="28" t="n"/>
      <c r="F84" s="28" t="n"/>
    </row>
    <row r="85" ht="15" customHeight="1" s="19">
      <c r="A85" s="35" t="n"/>
      <c r="B85" s="28" t="n"/>
      <c r="C85" s="32">
        <f>IF(B85="","",IFERROR(INDEX(Inventario!$B$5:$B$200,MATCH(B85,Inventario!$A$5:$A$200,0)),"SKU no existe"))</f>
        <v/>
      </c>
      <c r="D85" s="28" t="n"/>
      <c r="E85" s="28" t="n"/>
      <c r="F85" s="28" t="n"/>
    </row>
    <row r="86" ht="15" customHeight="1" s="19">
      <c r="A86" s="35" t="n"/>
      <c r="B86" s="28" t="n"/>
      <c r="C86" s="32">
        <f>IF(B86="","",IFERROR(INDEX(Inventario!$B$5:$B$200,MATCH(B86,Inventario!$A$5:$A$200,0)),"SKU no existe"))</f>
        <v/>
      </c>
      <c r="D86" s="28" t="n"/>
      <c r="E86" s="28" t="n"/>
      <c r="F86" s="28" t="n"/>
    </row>
    <row r="87" ht="15" customHeight="1" s="19">
      <c r="A87" s="35" t="n"/>
      <c r="B87" s="28" t="n"/>
      <c r="C87" s="32">
        <f>IF(B87="","",IFERROR(INDEX(Inventario!$B$5:$B$200,MATCH(B87,Inventario!$A$5:$A$200,0)),"SKU no existe"))</f>
        <v/>
      </c>
      <c r="D87" s="28" t="n"/>
      <c r="E87" s="28" t="n"/>
      <c r="F87" s="28" t="n"/>
    </row>
    <row r="88" ht="15" customHeight="1" s="19">
      <c r="A88" s="35" t="n"/>
      <c r="B88" s="28" t="n"/>
      <c r="C88" s="32">
        <f>IF(B88="","",IFERROR(INDEX(Inventario!$B$5:$B$200,MATCH(B88,Inventario!$A$5:$A$200,0)),"SKU no existe"))</f>
        <v/>
      </c>
      <c r="D88" s="28" t="n"/>
      <c r="E88" s="28" t="n"/>
      <c r="F88" s="28" t="n"/>
    </row>
    <row r="89" ht="15" customHeight="1" s="19">
      <c r="A89" s="35" t="n"/>
      <c r="B89" s="28" t="n"/>
      <c r="C89" s="32">
        <f>IF(B89="","",IFERROR(INDEX(Inventario!$B$5:$B$200,MATCH(B89,Inventario!$A$5:$A$200,0)),"SKU no existe"))</f>
        <v/>
      </c>
      <c r="D89" s="28" t="n"/>
      <c r="E89" s="28" t="n"/>
      <c r="F89" s="28" t="n"/>
    </row>
    <row r="90" ht="15" customHeight="1" s="19">
      <c r="A90" s="35" t="n"/>
      <c r="B90" s="28" t="n"/>
      <c r="C90" s="32">
        <f>IF(B90="","",IFERROR(INDEX(Inventario!$B$5:$B$200,MATCH(B90,Inventario!$A$5:$A$200,0)),"SKU no existe"))</f>
        <v/>
      </c>
      <c r="D90" s="28" t="n"/>
      <c r="E90" s="28" t="n"/>
      <c r="F90" s="28" t="n"/>
    </row>
    <row r="91" ht="15" customHeight="1" s="19">
      <c r="A91" s="35" t="n"/>
      <c r="B91" s="28" t="n"/>
      <c r="C91" s="32">
        <f>IF(B91="","",IFERROR(INDEX(Inventario!$B$5:$B$200,MATCH(B91,Inventario!$A$5:$A$200,0)),"SKU no existe"))</f>
        <v/>
      </c>
      <c r="D91" s="28" t="n"/>
      <c r="E91" s="28" t="n"/>
      <c r="F91" s="28" t="n"/>
    </row>
    <row r="92" ht="15" customHeight="1" s="19">
      <c r="A92" s="35" t="n"/>
      <c r="B92" s="28" t="n"/>
      <c r="C92" s="32">
        <f>IF(B92="","",IFERROR(INDEX(Inventario!$B$5:$B$200,MATCH(B92,Inventario!$A$5:$A$200,0)),"SKU no existe"))</f>
        <v/>
      </c>
      <c r="D92" s="28" t="n"/>
      <c r="E92" s="28" t="n"/>
      <c r="F92" s="28" t="n"/>
    </row>
    <row r="93" ht="15" customHeight="1" s="19">
      <c r="A93" s="35" t="n"/>
      <c r="B93" s="28" t="n"/>
      <c r="C93" s="32">
        <f>IF(B93="","",IFERROR(INDEX(Inventario!$B$5:$B$200,MATCH(B93,Inventario!$A$5:$A$200,0)),"SKU no existe"))</f>
        <v/>
      </c>
      <c r="D93" s="28" t="n"/>
      <c r="E93" s="28" t="n"/>
      <c r="F93" s="28" t="n"/>
    </row>
    <row r="94" ht="15" customHeight="1" s="19">
      <c r="A94" s="35" t="n"/>
      <c r="B94" s="28" t="n"/>
      <c r="C94" s="32">
        <f>IF(B94="","",IFERROR(INDEX(Inventario!$B$5:$B$200,MATCH(B94,Inventario!$A$5:$A$200,0)),"SKU no existe"))</f>
        <v/>
      </c>
      <c r="D94" s="28" t="n"/>
      <c r="E94" s="28" t="n"/>
      <c r="F94" s="28" t="n"/>
    </row>
    <row r="95" ht="15" customHeight="1" s="19">
      <c r="A95" s="35" t="n"/>
      <c r="B95" s="28" t="n"/>
      <c r="C95" s="32">
        <f>IF(B95="","",IFERROR(INDEX(Inventario!$B$5:$B$200,MATCH(B95,Inventario!$A$5:$A$200,0)),"SKU no existe"))</f>
        <v/>
      </c>
      <c r="D95" s="28" t="n"/>
      <c r="E95" s="28" t="n"/>
      <c r="F95" s="28" t="n"/>
    </row>
    <row r="96" ht="15" customHeight="1" s="19">
      <c r="A96" s="35" t="n"/>
      <c r="B96" s="28" t="n"/>
      <c r="C96" s="32">
        <f>IF(B96="","",IFERROR(INDEX(Inventario!$B$5:$B$200,MATCH(B96,Inventario!$A$5:$A$200,0)),"SKU no existe"))</f>
        <v/>
      </c>
      <c r="D96" s="28" t="n"/>
      <c r="E96" s="28" t="n"/>
      <c r="F96" s="28" t="n"/>
    </row>
    <row r="97" ht="15" customHeight="1" s="19">
      <c r="A97" s="35" t="n"/>
      <c r="B97" s="28" t="n"/>
      <c r="C97" s="32">
        <f>IF(B97="","",IFERROR(INDEX(Inventario!$B$5:$B$200,MATCH(B97,Inventario!$A$5:$A$200,0)),"SKU no existe"))</f>
        <v/>
      </c>
      <c r="D97" s="28" t="n"/>
      <c r="E97" s="28" t="n"/>
      <c r="F97" s="28" t="n"/>
    </row>
    <row r="98" ht="15" customHeight="1" s="19">
      <c r="A98" s="35" t="n"/>
      <c r="B98" s="28" t="n"/>
      <c r="C98" s="32">
        <f>IF(B98="","",IFERROR(INDEX(Inventario!$B$5:$B$200,MATCH(B98,Inventario!$A$5:$A$200,0)),"SKU no existe"))</f>
        <v/>
      </c>
      <c r="D98" s="28" t="n"/>
      <c r="E98" s="28" t="n"/>
      <c r="F98" s="28" t="n"/>
    </row>
    <row r="99" ht="15" customHeight="1" s="19">
      <c r="A99" s="35" t="n"/>
      <c r="B99" s="28" t="n"/>
      <c r="C99" s="32">
        <f>IF(B99="","",IFERROR(INDEX(Inventario!$B$5:$B$200,MATCH(B99,Inventario!$A$5:$A$200,0)),"SKU no existe"))</f>
        <v/>
      </c>
      <c r="D99" s="28" t="n"/>
      <c r="E99" s="28" t="n"/>
      <c r="F99" s="28" t="n"/>
    </row>
    <row r="100" ht="15" customHeight="1" s="19">
      <c r="A100" s="35" t="n"/>
      <c r="B100" s="28" t="n"/>
      <c r="C100" s="32">
        <f>IF(B100="","",IFERROR(INDEX(Inventario!$B$5:$B$200,MATCH(B100,Inventario!$A$5:$A$200,0)),"SKU no existe"))</f>
        <v/>
      </c>
      <c r="D100" s="28" t="n"/>
      <c r="E100" s="28" t="n"/>
      <c r="F100" s="28" t="n"/>
    </row>
    <row r="101" ht="15" customHeight="1" s="19">
      <c r="A101" s="35" t="n"/>
      <c r="B101" s="28" t="n"/>
      <c r="C101" s="32">
        <f>IF(B101="","",IFERROR(INDEX(Inventario!$B$5:$B$200,MATCH(B101,Inventario!$A$5:$A$200,0)),"SKU no existe"))</f>
        <v/>
      </c>
      <c r="D101" s="28" t="n"/>
      <c r="E101" s="28" t="n"/>
      <c r="F101" s="28" t="n"/>
    </row>
    <row r="102" ht="15" customHeight="1" s="19">
      <c r="A102" s="35" t="n"/>
      <c r="B102" s="28" t="n"/>
      <c r="C102" s="32">
        <f>IF(B102="","",IFERROR(INDEX(Inventario!$B$5:$B$200,MATCH(B102,Inventario!$A$5:$A$200,0)),"SKU no existe"))</f>
        <v/>
      </c>
      <c r="D102" s="28" t="n"/>
      <c r="E102" s="28" t="n"/>
      <c r="F102" s="28" t="n"/>
    </row>
    <row r="103" ht="15" customHeight="1" s="19">
      <c r="A103" s="35" t="n"/>
      <c r="B103" s="28" t="n"/>
      <c r="C103" s="32">
        <f>IF(B103="","",IFERROR(INDEX(Inventario!$B$5:$B$200,MATCH(B103,Inventario!$A$5:$A$200,0)),"SKU no existe"))</f>
        <v/>
      </c>
      <c r="D103" s="28" t="n"/>
      <c r="E103" s="28" t="n"/>
      <c r="F103" s="28" t="n"/>
    </row>
    <row r="104" ht="15" customHeight="1" s="19">
      <c r="A104" s="35" t="n"/>
      <c r="B104" s="28" t="n"/>
      <c r="C104" s="32">
        <f>IF(B104="","",IFERROR(INDEX(Inventario!$B$5:$B$200,MATCH(B104,Inventario!$A$5:$A$200,0)),"SKU no existe"))</f>
        <v/>
      </c>
      <c r="D104" s="28" t="n"/>
      <c r="E104" s="28" t="n"/>
      <c r="F104" s="28" t="n"/>
    </row>
    <row r="105" ht="15" customHeight="1" s="19">
      <c r="A105" s="35" t="n"/>
      <c r="B105" s="28" t="n"/>
      <c r="C105" s="32">
        <f>IF(B105="","",IFERROR(INDEX(Inventario!$B$5:$B$200,MATCH(B105,Inventario!$A$5:$A$200,0)),"SKU no existe"))</f>
        <v/>
      </c>
      <c r="D105" s="28" t="n"/>
      <c r="E105" s="28" t="n"/>
      <c r="F105" s="28" t="n"/>
    </row>
    <row r="106" ht="15" customHeight="1" s="19">
      <c r="A106" s="35" t="n"/>
      <c r="B106" s="28" t="n"/>
      <c r="C106" s="32">
        <f>IF(B106="","",IFERROR(INDEX(Inventario!$B$5:$B$200,MATCH(B106,Inventario!$A$5:$A$200,0)),"SKU no existe"))</f>
        <v/>
      </c>
      <c r="D106" s="28" t="n"/>
      <c r="E106" s="28" t="n"/>
      <c r="F106" s="28" t="n"/>
    </row>
    <row r="107" ht="15" customHeight="1" s="19">
      <c r="A107" s="35" t="n"/>
      <c r="B107" s="28" t="n"/>
      <c r="C107" s="32">
        <f>IF(B107="","",IFERROR(INDEX(Inventario!$B$5:$B$200,MATCH(B107,Inventario!$A$5:$A$200,0)),"SKU no existe"))</f>
        <v/>
      </c>
      <c r="D107" s="28" t="n"/>
      <c r="E107" s="28" t="n"/>
      <c r="F107" s="28" t="n"/>
    </row>
    <row r="108" ht="15" customHeight="1" s="19">
      <c r="A108" s="35" t="n"/>
      <c r="B108" s="28" t="n"/>
      <c r="C108" s="32">
        <f>IF(B108="","",IFERROR(INDEX(Inventario!$B$5:$B$200,MATCH(B108,Inventario!$A$5:$A$200,0)),"SKU no existe"))</f>
        <v/>
      </c>
      <c r="D108" s="28" t="n"/>
      <c r="E108" s="28" t="n"/>
      <c r="F108" s="28" t="n"/>
    </row>
    <row r="109" ht="15" customHeight="1" s="19">
      <c r="A109" s="35" t="n"/>
      <c r="B109" s="28" t="n"/>
      <c r="C109" s="32">
        <f>IF(B109="","",IFERROR(INDEX(Inventario!$B$5:$B$200,MATCH(B109,Inventario!$A$5:$A$200,0)),"SKU no existe"))</f>
        <v/>
      </c>
      <c r="D109" s="28" t="n"/>
      <c r="E109" s="28" t="n"/>
      <c r="F109" s="28" t="n"/>
    </row>
    <row r="110" ht="15" customHeight="1" s="19">
      <c r="A110" s="35" t="n"/>
      <c r="B110" s="28" t="n"/>
      <c r="C110" s="32">
        <f>IF(B110="","",IFERROR(INDEX(Inventario!$B$5:$B$200,MATCH(B110,Inventario!$A$5:$A$200,0)),"SKU no existe"))</f>
        <v/>
      </c>
      <c r="D110" s="28" t="n"/>
      <c r="E110" s="28" t="n"/>
      <c r="F110" s="28" t="n"/>
    </row>
    <row r="111" ht="15" customHeight="1" s="19">
      <c r="A111" s="35" t="n"/>
      <c r="B111" s="28" t="n"/>
      <c r="C111" s="32">
        <f>IF(B111="","",IFERROR(INDEX(Inventario!$B$5:$B$200,MATCH(B111,Inventario!$A$5:$A$200,0)),"SKU no existe"))</f>
        <v/>
      </c>
      <c r="D111" s="28" t="n"/>
      <c r="E111" s="28" t="n"/>
      <c r="F111" s="28" t="n"/>
    </row>
    <row r="112" ht="15" customHeight="1" s="19">
      <c r="A112" s="35" t="n"/>
      <c r="B112" s="28" t="n"/>
      <c r="C112" s="32">
        <f>IF(B112="","",IFERROR(INDEX(Inventario!$B$5:$B$200,MATCH(B112,Inventario!$A$5:$A$200,0)),"SKU no existe"))</f>
        <v/>
      </c>
      <c r="D112" s="28" t="n"/>
      <c r="E112" s="28" t="n"/>
      <c r="F112" s="28" t="n"/>
    </row>
    <row r="113" ht="15" customHeight="1" s="19">
      <c r="A113" s="35" t="n"/>
      <c r="B113" s="28" t="n"/>
      <c r="C113" s="32">
        <f>IF(B113="","",IFERROR(INDEX(Inventario!$B$5:$B$200,MATCH(B113,Inventario!$A$5:$A$200,0)),"SKU no existe"))</f>
        <v/>
      </c>
      <c r="D113" s="28" t="n"/>
      <c r="E113" s="28" t="n"/>
      <c r="F113" s="28" t="n"/>
    </row>
    <row r="114" ht="15" customHeight="1" s="19">
      <c r="A114" s="35" t="n"/>
      <c r="B114" s="28" t="n"/>
      <c r="C114" s="32">
        <f>IF(B114="","",IFERROR(INDEX(Inventario!$B$5:$B$200,MATCH(B114,Inventario!$A$5:$A$200,0)),"SKU no existe"))</f>
        <v/>
      </c>
      <c r="D114" s="28" t="n"/>
      <c r="E114" s="28" t="n"/>
      <c r="F114" s="28" t="n"/>
    </row>
    <row r="115" ht="15" customHeight="1" s="19">
      <c r="A115" s="35" t="n"/>
      <c r="B115" s="28" t="n"/>
      <c r="C115" s="32">
        <f>IF(B115="","",IFERROR(INDEX(Inventario!$B$5:$B$200,MATCH(B115,Inventario!$A$5:$A$200,0)),"SKU no existe"))</f>
        <v/>
      </c>
      <c r="D115" s="28" t="n"/>
      <c r="E115" s="28" t="n"/>
      <c r="F115" s="28" t="n"/>
    </row>
    <row r="116" ht="15" customHeight="1" s="19">
      <c r="A116" s="35" t="n"/>
      <c r="B116" s="28" t="n"/>
      <c r="C116" s="32">
        <f>IF(B116="","",IFERROR(INDEX(Inventario!$B$5:$B$200,MATCH(B116,Inventario!$A$5:$A$200,0)),"SKU no existe"))</f>
        <v/>
      </c>
      <c r="D116" s="28" t="n"/>
      <c r="E116" s="28" t="n"/>
      <c r="F116" s="28" t="n"/>
    </row>
    <row r="117" ht="15" customHeight="1" s="19">
      <c r="A117" s="35" t="n"/>
      <c r="B117" s="28" t="n"/>
      <c r="C117" s="32">
        <f>IF(B117="","",IFERROR(INDEX(Inventario!$B$5:$B$200,MATCH(B117,Inventario!$A$5:$A$200,0)),"SKU no existe"))</f>
        <v/>
      </c>
      <c r="D117" s="28" t="n"/>
      <c r="E117" s="28" t="n"/>
      <c r="F117" s="28" t="n"/>
    </row>
    <row r="118" ht="15" customHeight="1" s="19">
      <c r="A118" s="35" t="n"/>
      <c r="B118" s="28" t="n"/>
      <c r="C118" s="32">
        <f>IF(B118="","",IFERROR(INDEX(Inventario!$B$5:$B$200,MATCH(B118,Inventario!$A$5:$A$200,0)),"SKU no existe"))</f>
        <v/>
      </c>
      <c r="D118" s="28" t="n"/>
      <c r="E118" s="28" t="n"/>
      <c r="F118" s="28" t="n"/>
    </row>
    <row r="119" ht="15" customHeight="1" s="19">
      <c r="A119" s="35" t="n"/>
      <c r="B119" s="28" t="n"/>
      <c r="C119" s="32">
        <f>IF(B119="","",IFERROR(INDEX(Inventario!$B$5:$B$200,MATCH(B119,Inventario!$A$5:$A$200,0)),"SKU no existe"))</f>
        <v/>
      </c>
      <c r="D119" s="28" t="n"/>
      <c r="E119" s="28" t="n"/>
      <c r="F119" s="28" t="n"/>
    </row>
    <row r="120" ht="15" customHeight="1" s="19">
      <c r="A120" s="35" t="n"/>
      <c r="B120" s="28" t="n"/>
      <c r="C120" s="32">
        <f>IF(B120="","",IFERROR(INDEX(Inventario!$B$5:$B$200,MATCH(B120,Inventario!$A$5:$A$200,0)),"SKU no existe"))</f>
        <v/>
      </c>
      <c r="D120" s="28" t="n"/>
      <c r="E120" s="28" t="n"/>
      <c r="F120" s="28" t="n"/>
    </row>
    <row r="121" ht="15" customHeight="1" s="19">
      <c r="A121" s="35" t="n"/>
      <c r="B121" s="28" t="n"/>
      <c r="C121" s="32">
        <f>IF(B121="","",IFERROR(INDEX(Inventario!$B$5:$B$200,MATCH(B121,Inventario!$A$5:$A$200,0)),"SKU no existe"))</f>
        <v/>
      </c>
      <c r="D121" s="28" t="n"/>
      <c r="E121" s="28" t="n"/>
      <c r="F121" s="28" t="n"/>
    </row>
    <row r="122" ht="15" customHeight="1" s="19">
      <c r="A122" s="35" t="n"/>
      <c r="B122" s="28" t="n"/>
      <c r="C122" s="32">
        <f>IF(B122="","",IFERROR(INDEX(Inventario!$B$5:$B$200,MATCH(B122,Inventario!$A$5:$A$200,0)),"SKU no existe"))</f>
        <v/>
      </c>
      <c r="D122" s="28" t="n"/>
      <c r="E122" s="28" t="n"/>
      <c r="F122" s="28" t="n"/>
    </row>
    <row r="123" ht="15" customHeight="1" s="19">
      <c r="A123" s="35" t="n"/>
      <c r="B123" s="28" t="n"/>
      <c r="C123" s="32">
        <f>IF(B123="","",IFERROR(INDEX(Inventario!$B$5:$B$200,MATCH(B123,Inventario!$A$5:$A$200,0)),"SKU no existe"))</f>
        <v/>
      </c>
      <c r="D123" s="28" t="n"/>
      <c r="E123" s="28" t="n"/>
      <c r="F123" s="28" t="n"/>
    </row>
    <row r="124" ht="15" customHeight="1" s="19">
      <c r="A124" s="35" t="n"/>
      <c r="B124" s="28" t="n"/>
      <c r="C124" s="32">
        <f>IF(B124="","",IFERROR(INDEX(Inventario!$B$5:$B$200,MATCH(B124,Inventario!$A$5:$A$200,0)),"SKU no existe"))</f>
        <v/>
      </c>
      <c r="D124" s="28" t="n"/>
      <c r="E124" s="28" t="n"/>
      <c r="F124" s="28" t="n"/>
    </row>
    <row r="125" ht="15" customHeight="1" s="19">
      <c r="A125" s="35" t="n"/>
      <c r="B125" s="28" t="n"/>
      <c r="C125" s="32">
        <f>IF(B125="","",IFERROR(INDEX(Inventario!$B$5:$B$200,MATCH(B125,Inventario!$A$5:$A$200,0)),"SKU no existe"))</f>
        <v/>
      </c>
      <c r="D125" s="28" t="n"/>
      <c r="E125" s="28" t="n"/>
      <c r="F125" s="28" t="n"/>
    </row>
    <row r="126" ht="15" customHeight="1" s="19">
      <c r="A126" s="35" t="n"/>
      <c r="B126" s="28" t="n"/>
      <c r="C126" s="32">
        <f>IF(B126="","",IFERROR(INDEX(Inventario!$B$5:$B$200,MATCH(B126,Inventario!$A$5:$A$200,0)),"SKU no existe"))</f>
        <v/>
      </c>
      <c r="D126" s="28" t="n"/>
      <c r="E126" s="28" t="n"/>
      <c r="F126" s="28" t="n"/>
    </row>
    <row r="127" ht="15" customHeight="1" s="19">
      <c r="A127" s="35" t="n"/>
      <c r="B127" s="28" t="n"/>
      <c r="C127" s="32">
        <f>IF(B127="","",IFERROR(INDEX(Inventario!$B$5:$B$200,MATCH(B127,Inventario!$A$5:$A$200,0)),"SKU no existe"))</f>
        <v/>
      </c>
      <c r="D127" s="28" t="n"/>
      <c r="E127" s="28" t="n"/>
      <c r="F127" s="28" t="n"/>
    </row>
    <row r="128" ht="15" customHeight="1" s="19">
      <c r="A128" s="35" t="n"/>
      <c r="B128" s="28" t="n"/>
      <c r="C128" s="32">
        <f>IF(B128="","",IFERROR(INDEX(Inventario!$B$5:$B$200,MATCH(B128,Inventario!$A$5:$A$200,0)),"SKU no existe"))</f>
        <v/>
      </c>
      <c r="D128" s="28" t="n"/>
      <c r="E128" s="28" t="n"/>
      <c r="F128" s="28" t="n"/>
    </row>
    <row r="129" ht="15" customHeight="1" s="19">
      <c r="A129" s="35" t="n"/>
      <c r="B129" s="28" t="n"/>
      <c r="C129" s="32">
        <f>IF(B129="","",IFERROR(INDEX(Inventario!$B$5:$B$200,MATCH(B129,Inventario!$A$5:$A$200,0)),"SKU no existe"))</f>
        <v/>
      </c>
      <c r="D129" s="28" t="n"/>
      <c r="E129" s="28" t="n"/>
      <c r="F129" s="28" t="n"/>
    </row>
    <row r="130" ht="15" customHeight="1" s="19">
      <c r="A130" s="35" t="n"/>
      <c r="B130" s="28" t="n"/>
      <c r="C130" s="32">
        <f>IF(B130="","",IFERROR(INDEX(Inventario!$B$5:$B$200,MATCH(B130,Inventario!$A$5:$A$200,0)),"SKU no existe"))</f>
        <v/>
      </c>
      <c r="D130" s="28" t="n"/>
      <c r="E130" s="28" t="n"/>
      <c r="F130" s="28" t="n"/>
    </row>
    <row r="131" ht="15" customHeight="1" s="19">
      <c r="A131" s="35" t="n"/>
      <c r="B131" s="28" t="n"/>
      <c r="C131" s="32">
        <f>IF(B131="","",IFERROR(INDEX(Inventario!$B$5:$B$200,MATCH(B131,Inventario!$A$5:$A$200,0)),"SKU no existe"))</f>
        <v/>
      </c>
      <c r="D131" s="28" t="n"/>
      <c r="E131" s="28" t="n"/>
      <c r="F131" s="28" t="n"/>
    </row>
    <row r="132" ht="15" customHeight="1" s="19">
      <c r="A132" s="35" t="n"/>
      <c r="B132" s="28" t="n"/>
      <c r="C132" s="32">
        <f>IF(B132="","",IFERROR(INDEX(Inventario!$B$5:$B$200,MATCH(B132,Inventario!$A$5:$A$200,0)),"SKU no existe"))</f>
        <v/>
      </c>
      <c r="D132" s="28" t="n"/>
      <c r="E132" s="28" t="n"/>
      <c r="F132" s="28" t="n"/>
    </row>
    <row r="133" ht="15" customHeight="1" s="19">
      <c r="A133" s="35" t="n"/>
      <c r="B133" s="28" t="n"/>
      <c r="C133" s="32">
        <f>IF(B133="","",IFERROR(INDEX(Inventario!$B$5:$B$200,MATCH(B133,Inventario!$A$5:$A$200,0)),"SKU no existe"))</f>
        <v/>
      </c>
      <c r="D133" s="28" t="n"/>
      <c r="E133" s="28" t="n"/>
      <c r="F133" s="28" t="n"/>
    </row>
    <row r="134" ht="15" customHeight="1" s="19">
      <c r="A134" s="35" t="n"/>
      <c r="B134" s="28" t="n"/>
      <c r="C134" s="32">
        <f>IF(B134="","",IFERROR(INDEX(Inventario!$B$5:$B$200,MATCH(B134,Inventario!$A$5:$A$200,0)),"SKU no existe"))</f>
        <v/>
      </c>
      <c r="D134" s="28" t="n"/>
      <c r="E134" s="28" t="n"/>
      <c r="F134" s="28" t="n"/>
    </row>
    <row r="135" ht="15" customHeight="1" s="19">
      <c r="A135" s="35" t="n"/>
      <c r="B135" s="28" t="n"/>
      <c r="C135" s="32">
        <f>IF(B135="","",IFERROR(INDEX(Inventario!$B$5:$B$200,MATCH(B135,Inventario!$A$5:$A$200,0)),"SKU no existe"))</f>
        <v/>
      </c>
      <c r="D135" s="28" t="n"/>
      <c r="E135" s="28" t="n"/>
      <c r="F135" s="28" t="n"/>
    </row>
    <row r="136" ht="15" customHeight="1" s="19">
      <c r="A136" s="35" t="n"/>
      <c r="B136" s="28" t="n"/>
      <c r="C136" s="32">
        <f>IF(B136="","",IFERROR(INDEX(Inventario!$B$5:$B$200,MATCH(B136,Inventario!$A$5:$A$200,0)),"SKU no existe"))</f>
        <v/>
      </c>
      <c r="D136" s="28" t="n"/>
      <c r="E136" s="28" t="n"/>
      <c r="F136" s="28" t="n"/>
    </row>
    <row r="137" ht="15" customHeight="1" s="19">
      <c r="A137" s="35" t="n"/>
      <c r="B137" s="28" t="n"/>
      <c r="C137" s="32">
        <f>IF(B137="","",IFERROR(INDEX(Inventario!$B$5:$B$200,MATCH(B137,Inventario!$A$5:$A$200,0)),"SKU no existe"))</f>
        <v/>
      </c>
      <c r="D137" s="28" t="n"/>
      <c r="E137" s="28" t="n"/>
      <c r="F137" s="28" t="n"/>
    </row>
    <row r="138" ht="15" customHeight="1" s="19">
      <c r="A138" s="35" t="n"/>
      <c r="B138" s="28" t="n"/>
      <c r="C138" s="32">
        <f>IF(B138="","",IFERROR(INDEX(Inventario!$B$5:$B$200,MATCH(B138,Inventario!$A$5:$A$200,0)),"SKU no existe"))</f>
        <v/>
      </c>
      <c r="D138" s="28" t="n"/>
      <c r="E138" s="28" t="n"/>
      <c r="F138" s="28" t="n"/>
    </row>
    <row r="139" ht="15" customHeight="1" s="19">
      <c r="A139" s="35" t="n"/>
      <c r="B139" s="28" t="n"/>
      <c r="C139" s="32">
        <f>IF(B139="","",IFERROR(INDEX(Inventario!$B$5:$B$200,MATCH(B139,Inventario!$A$5:$A$200,0)),"SKU no existe"))</f>
        <v/>
      </c>
      <c r="D139" s="28" t="n"/>
      <c r="E139" s="28" t="n"/>
      <c r="F139" s="28" t="n"/>
    </row>
    <row r="140" ht="15" customHeight="1" s="19">
      <c r="A140" s="35" t="n"/>
      <c r="B140" s="28" t="n"/>
      <c r="C140" s="32">
        <f>IF(B140="","",IFERROR(INDEX(Inventario!$B$5:$B$200,MATCH(B140,Inventario!$A$5:$A$200,0)),"SKU no existe"))</f>
        <v/>
      </c>
      <c r="D140" s="28" t="n"/>
      <c r="E140" s="28" t="n"/>
      <c r="F140" s="28" t="n"/>
    </row>
    <row r="141" ht="15" customHeight="1" s="19">
      <c r="A141" s="35" t="n"/>
      <c r="B141" s="28" t="n"/>
      <c r="C141" s="32">
        <f>IF(B141="","",IFERROR(INDEX(Inventario!$B$5:$B$200,MATCH(B141,Inventario!$A$5:$A$200,0)),"SKU no existe"))</f>
        <v/>
      </c>
      <c r="D141" s="28" t="n"/>
      <c r="E141" s="28" t="n"/>
      <c r="F141" s="28" t="n"/>
    </row>
    <row r="142" ht="15" customHeight="1" s="19">
      <c r="A142" s="35" t="n"/>
      <c r="B142" s="28" t="n"/>
      <c r="C142" s="32">
        <f>IF(B142="","",IFERROR(INDEX(Inventario!$B$5:$B$200,MATCH(B142,Inventario!$A$5:$A$200,0)),"SKU no existe"))</f>
        <v/>
      </c>
      <c r="D142" s="28" t="n"/>
      <c r="E142" s="28" t="n"/>
      <c r="F142" s="28" t="n"/>
    </row>
    <row r="143" ht="15" customHeight="1" s="19">
      <c r="A143" s="35" t="n"/>
      <c r="B143" s="28" t="n"/>
      <c r="C143" s="32">
        <f>IF(B143="","",IFERROR(INDEX(Inventario!$B$5:$B$200,MATCH(B143,Inventario!$A$5:$A$200,0)),"SKU no existe"))</f>
        <v/>
      </c>
      <c r="D143" s="28" t="n"/>
      <c r="E143" s="28" t="n"/>
      <c r="F143" s="28" t="n"/>
    </row>
    <row r="144" ht="15" customHeight="1" s="19">
      <c r="A144" s="35" t="n"/>
      <c r="B144" s="28" t="n"/>
      <c r="C144" s="32">
        <f>IF(B144="","",IFERROR(INDEX(Inventario!$B$5:$B$200,MATCH(B144,Inventario!$A$5:$A$200,0)),"SKU no existe"))</f>
        <v/>
      </c>
      <c r="D144" s="28" t="n"/>
      <c r="E144" s="28" t="n"/>
      <c r="F144" s="28" t="n"/>
    </row>
    <row r="145" ht="15" customHeight="1" s="19">
      <c r="A145" s="35" t="n"/>
      <c r="B145" s="28" t="n"/>
      <c r="C145" s="32">
        <f>IF(B145="","",IFERROR(INDEX(Inventario!$B$5:$B$200,MATCH(B145,Inventario!$A$5:$A$200,0)),"SKU no existe"))</f>
        <v/>
      </c>
      <c r="D145" s="28" t="n"/>
      <c r="E145" s="28" t="n"/>
      <c r="F145" s="28" t="n"/>
    </row>
    <row r="146" ht="15" customHeight="1" s="19">
      <c r="A146" s="35" t="n"/>
      <c r="B146" s="28" t="n"/>
      <c r="C146" s="32">
        <f>IF(B146="","",IFERROR(INDEX(Inventario!$B$5:$B$200,MATCH(B146,Inventario!$A$5:$A$200,0)),"SKU no existe"))</f>
        <v/>
      </c>
      <c r="D146" s="28" t="n"/>
      <c r="E146" s="28" t="n"/>
      <c r="F146" s="28" t="n"/>
    </row>
    <row r="147" ht="15" customHeight="1" s="19">
      <c r="A147" s="35" t="n"/>
      <c r="B147" s="28" t="n"/>
      <c r="C147" s="32">
        <f>IF(B147="","",IFERROR(INDEX(Inventario!$B$5:$B$200,MATCH(B147,Inventario!$A$5:$A$200,0)),"SKU no existe"))</f>
        <v/>
      </c>
      <c r="D147" s="28" t="n"/>
      <c r="E147" s="28" t="n"/>
      <c r="F147" s="28" t="n"/>
    </row>
    <row r="148" ht="15" customHeight="1" s="19">
      <c r="A148" s="35" t="n"/>
      <c r="B148" s="28" t="n"/>
      <c r="C148" s="32">
        <f>IF(B148="","",IFERROR(INDEX(Inventario!$B$5:$B$200,MATCH(B148,Inventario!$A$5:$A$200,0)),"SKU no existe"))</f>
        <v/>
      </c>
      <c r="D148" s="28" t="n"/>
      <c r="E148" s="28" t="n"/>
      <c r="F148" s="28" t="n"/>
    </row>
    <row r="149" ht="15" customHeight="1" s="19">
      <c r="A149" s="35" t="n"/>
      <c r="B149" s="28" t="n"/>
      <c r="C149" s="32">
        <f>IF(B149="","",IFERROR(INDEX(Inventario!$B$5:$B$200,MATCH(B149,Inventario!$A$5:$A$200,0)),"SKU no existe"))</f>
        <v/>
      </c>
      <c r="D149" s="28" t="n"/>
      <c r="E149" s="28" t="n"/>
      <c r="F149" s="28" t="n"/>
    </row>
    <row r="150" ht="15" customHeight="1" s="19">
      <c r="A150" s="35" t="n"/>
      <c r="B150" s="28" t="n"/>
      <c r="C150" s="32">
        <f>IF(B150="","",IFERROR(INDEX(Inventario!$B$5:$B$200,MATCH(B150,Inventario!$A$5:$A$200,0)),"SKU no existe"))</f>
        <v/>
      </c>
      <c r="D150" s="28" t="n"/>
      <c r="E150" s="28" t="n"/>
      <c r="F150" s="28" t="n"/>
    </row>
    <row r="151" ht="15" customHeight="1" s="19">
      <c r="A151" s="35" t="n"/>
      <c r="B151" s="28" t="n"/>
      <c r="C151" s="32">
        <f>IF(B151="","",IFERROR(INDEX(Inventario!$B$5:$B$200,MATCH(B151,Inventario!$A$5:$A$200,0)),"SKU no existe"))</f>
        <v/>
      </c>
      <c r="D151" s="28" t="n"/>
      <c r="E151" s="28" t="n"/>
      <c r="F151" s="28" t="n"/>
    </row>
    <row r="152" ht="15" customHeight="1" s="19">
      <c r="A152" s="35" t="n"/>
      <c r="B152" s="28" t="n"/>
      <c r="C152" s="32">
        <f>IF(B152="","",IFERROR(INDEX(Inventario!$B$5:$B$200,MATCH(B152,Inventario!$A$5:$A$200,0)),"SKU no existe"))</f>
        <v/>
      </c>
      <c r="D152" s="28" t="n"/>
      <c r="E152" s="28" t="n"/>
      <c r="F152" s="28" t="n"/>
    </row>
    <row r="153" ht="15" customHeight="1" s="19">
      <c r="A153" s="35" t="n"/>
      <c r="B153" s="28" t="n"/>
      <c r="C153" s="32">
        <f>IF(B153="","",IFERROR(INDEX(Inventario!$B$5:$B$200,MATCH(B153,Inventario!$A$5:$A$200,0)),"SKU no existe"))</f>
        <v/>
      </c>
      <c r="D153" s="28" t="n"/>
      <c r="E153" s="28" t="n"/>
      <c r="F153" s="28" t="n"/>
    </row>
    <row r="154" ht="15" customHeight="1" s="19">
      <c r="A154" s="35" t="n"/>
      <c r="B154" s="28" t="n"/>
      <c r="C154" s="32">
        <f>IF(B154="","",IFERROR(INDEX(Inventario!$B$5:$B$200,MATCH(B154,Inventario!$A$5:$A$200,0)),"SKU no existe"))</f>
        <v/>
      </c>
      <c r="D154" s="28" t="n"/>
      <c r="E154" s="28" t="n"/>
      <c r="F154" s="28" t="n"/>
    </row>
    <row r="155" ht="15" customHeight="1" s="19">
      <c r="A155" s="35" t="n"/>
      <c r="B155" s="28" t="n"/>
      <c r="C155" s="32">
        <f>IF(B155="","",IFERROR(INDEX(Inventario!$B$5:$B$200,MATCH(B155,Inventario!$A$5:$A$200,0)),"SKU no existe"))</f>
        <v/>
      </c>
      <c r="D155" s="28" t="n"/>
      <c r="E155" s="28" t="n"/>
      <c r="F155" s="28" t="n"/>
    </row>
    <row r="156" ht="15" customHeight="1" s="19">
      <c r="A156" s="35" t="n"/>
      <c r="B156" s="28" t="n"/>
      <c r="C156" s="32">
        <f>IF(B156="","",IFERROR(INDEX(Inventario!$B$5:$B$200,MATCH(B156,Inventario!$A$5:$A$200,0)),"SKU no existe"))</f>
        <v/>
      </c>
      <c r="D156" s="28" t="n"/>
      <c r="E156" s="28" t="n"/>
      <c r="F156" s="28" t="n"/>
    </row>
    <row r="157" ht="15" customHeight="1" s="19">
      <c r="A157" s="35" t="n"/>
      <c r="B157" s="28" t="n"/>
      <c r="C157" s="32">
        <f>IF(B157="","",IFERROR(INDEX(Inventario!$B$5:$B$200,MATCH(B157,Inventario!$A$5:$A$200,0)),"SKU no existe"))</f>
        <v/>
      </c>
      <c r="D157" s="28" t="n"/>
      <c r="E157" s="28" t="n"/>
      <c r="F157" s="28" t="n"/>
    </row>
    <row r="158" ht="15" customHeight="1" s="19">
      <c r="A158" s="35" t="n"/>
      <c r="B158" s="28" t="n"/>
      <c r="C158" s="32">
        <f>IF(B158="","",IFERROR(INDEX(Inventario!$B$5:$B$200,MATCH(B158,Inventario!$A$5:$A$200,0)),"SKU no existe"))</f>
        <v/>
      </c>
      <c r="D158" s="28" t="n"/>
      <c r="E158" s="28" t="n"/>
      <c r="F158" s="28" t="n"/>
    </row>
    <row r="159" ht="15" customHeight="1" s="19">
      <c r="A159" s="35" t="n"/>
      <c r="B159" s="28" t="n"/>
      <c r="C159" s="32">
        <f>IF(B159="","",IFERROR(INDEX(Inventario!$B$5:$B$200,MATCH(B159,Inventario!$A$5:$A$200,0)),"SKU no existe"))</f>
        <v/>
      </c>
      <c r="D159" s="28" t="n"/>
      <c r="E159" s="28" t="n"/>
      <c r="F159" s="28" t="n"/>
    </row>
    <row r="160" ht="15" customHeight="1" s="19">
      <c r="A160" s="35" t="n"/>
      <c r="B160" s="28" t="n"/>
      <c r="C160" s="32">
        <f>IF(B160="","",IFERROR(INDEX(Inventario!$B$5:$B$200,MATCH(B160,Inventario!$A$5:$A$200,0)),"SKU no existe"))</f>
        <v/>
      </c>
      <c r="D160" s="28" t="n"/>
      <c r="E160" s="28" t="n"/>
      <c r="F160" s="28" t="n"/>
    </row>
    <row r="161" ht="15" customHeight="1" s="19">
      <c r="A161" s="35" t="n"/>
      <c r="B161" s="28" t="n"/>
      <c r="C161" s="32">
        <f>IF(B161="","",IFERROR(INDEX(Inventario!$B$5:$B$200,MATCH(B161,Inventario!$A$5:$A$200,0)),"SKU no existe"))</f>
        <v/>
      </c>
      <c r="D161" s="28" t="n"/>
      <c r="E161" s="28" t="n"/>
      <c r="F161" s="28" t="n"/>
    </row>
    <row r="162" ht="15" customHeight="1" s="19">
      <c r="A162" s="35" t="n"/>
      <c r="B162" s="28" t="n"/>
      <c r="C162" s="32">
        <f>IF(B162="","",IFERROR(INDEX(Inventario!$B$5:$B$200,MATCH(B162,Inventario!$A$5:$A$200,0)),"SKU no existe"))</f>
        <v/>
      </c>
      <c r="D162" s="28" t="n"/>
      <c r="E162" s="28" t="n"/>
      <c r="F162" s="28" t="n"/>
    </row>
    <row r="163" ht="15" customHeight="1" s="19">
      <c r="A163" s="35" t="n"/>
      <c r="B163" s="28" t="n"/>
      <c r="C163" s="32">
        <f>IF(B163="","",IFERROR(INDEX(Inventario!$B$5:$B$200,MATCH(B163,Inventario!$A$5:$A$200,0)),"SKU no existe"))</f>
        <v/>
      </c>
      <c r="D163" s="28" t="n"/>
      <c r="E163" s="28" t="n"/>
      <c r="F163" s="28" t="n"/>
    </row>
    <row r="164" ht="15" customHeight="1" s="19">
      <c r="A164" s="35" t="n"/>
      <c r="B164" s="28" t="n"/>
      <c r="C164" s="32">
        <f>IF(B164="","",IFERROR(INDEX(Inventario!$B$5:$B$200,MATCH(B164,Inventario!$A$5:$A$200,0)),"SKU no existe"))</f>
        <v/>
      </c>
      <c r="D164" s="28" t="n"/>
      <c r="E164" s="28" t="n"/>
      <c r="F164" s="28" t="n"/>
    </row>
    <row r="165" ht="15" customHeight="1" s="19">
      <c r="A165" s="35" t="n"/>
      <c r="B165" s="28" t="n"/>
      <c r="C165" s="32">
        <f>IF(B165="","",IFERROR(INDEX(Inventario!$B$5:$B$200,MATCH(B165,Inventario!$A$5:$A$200,0)),"SKU no existe"))</f>
        <v/>
      </c>
      <c r="D165" s="28" t="n"/>
      <c r="E165" s="28" t="n"/>
      <c r="F165" s="28" t="n"/>
    </row>
    <row r="166" ht="15" customHeight="1" s="19">
      <c r="A166" s="35" t="n"/>
      <c r="B166" s="28" t="n"/>
      <c r="C166" s="32">
        <f>IF(B166="","",IFERROR(INDEX(Inventario!$B$5:$B$200,MATCH(B166,Inventario!$A$5:$A$200,0)),"SKU no existe"))</f>
        <v/>
      </c>
      <c r="D166" s="28" t="n"/>
      <c r="E166" s="28" t="n"/>
      <c r="F166" s="28" t="n"/>
    </row>
    <row r="167" ht="15" customHeight="1" s="19">
      <c r="A167" s="35" t="n"/>
      <c r="B167" s="28" t="n"/>
      <c r="C167" s="32">
        <f>IF(B167="","",IFERROR(INDEX(Inventario!$B$5:$B$200,MATCH(B167,Inventario!$A$5:$A$200,0)),"SKU no existe"))</f>
        <v/>
      </c>
      <c r="D167" s="28" t="n"/>
      <c r="E167" s="28" t="n"/>
      <c r="F167" s="28" t="n"/>
    </row>
    <row r="168" ht="15" customHeight="1" s="19">
      <c r="A168" s="35" t="n"/>
      <c r="B168" s="28" t="n"/>
      <c r="C168" s="32">
        <f>IF(B168="","",IFERROR(INDEX(Inventario!$B$5:$B$200,MATCH(B168,Inventario!$A$5:$A$200,0)),"SKU no existe"))</f>
        <v/>
      </c>
      <c r="D168" s="28" t="n"/>
      <c r="E168" s="28" t="n"/>
      <c r="F168" s="28" t="n"/>
    </row>
    <row r="169" ht="15" customHeight="1" s="19">
      <c r="A169" s="35" t="n"/>
      <c r="B169" s="28" t="n"/>
      <c r="C169" s="32">
        <f>IF(B169="","",IFERROR(INDEX(Inventario!$B$5:$B$200,MATCH(B169,Inventario!$A$5:$A$200,0)),"SKU no existe"))</f>
        <v/>
      </c>
      <c r="D169" s="28" t="n"/>
      <c r="E169" s="28" t="n"/>
      <c r="F169" s="28" t="n"/>
    </row>
    <row r="170" ht="15" customHeight="1" s="19">
      <c r="A170" s="35" t="n"/>
      <c r="B170" s="28" t="n"/>
      <c r="C170" s="32">
        <f>IF(B170="","",IFERROR(INDEX(Inventario!$B$5:$B$200,MATCH(B170,Inventario!$A$5:$A$200,0)),"SKU no existe"))</f>
        <v/>
      </c>
      <c r="D170" s="28" t="n"/>
      <c r="E170" s="28" t="n"/>
      <c r="F170" s="28" t="n"/>
    </row>
    <row r="171" ht="15" customHeight="1" s="19">
      <c r="A171" s="35" t="n"/>
      <c r="B171" s="28" t="n"/>
      <c r="C171" s="32">
        <f>IF(B171="","",IFERROR(INDEX(Inventario!$B$5:$B$200,MATCH(B171,Inventario!$A$5:$A$200,0)),"SKU no existe"))</f>
        <v/>
      </c>
      <c r="D171" s="28" t="n"/>
      <c r="E171" s="28" t="n"/>
      <c r="F171" s="28" t="n"/>
    </row>
    <row r="172" ht="15" customHeight="1" s="19">
      <c r="A172" s="35" t="n"/>
      <c r="B172" s="28" t="n"/>
      <c r="C172" s="32">
        <f>IF(B172="","",IFERROR(INDEX(Inventario!$B$5:$B$200,MATCH(B172,Inventario!$A$5:$A$200,0)),"SKU no existe"))</f>
        <v/>
      </c>
      <c r="D172" s="28" t="n"/>
      <c r="E172" s="28" t="n"/>
      <c r="F172" s="28" t="n"/>
    </row>
    <row r="173" ht="15" customHeight="1" s="19">
      <c r="A173" s="35" t="n"/>
      <c r="B173" s="28" t="n"/>
      <c r="C173" s="32">
        <f>IF(B173="","",IFERROR(INDEX(Inventario!$B$5:$B$200,MATCH(B173,Inventario!$A$5:$A$200,0)),"SKU no existe"))</f>
        <v/>
      </c>
      <c r="D173" s="28" t="n"/>
      <c r="E173" s="28" t="n"/>
      <c r="F173" s="28" t="n"/>
    </row>
    <row r="174" ht="15" customHeight="1" s="19">
      <c r="A174" s="35" t="n"/>
      <c r="B174" s="28" t="n"/>
      <c r="C174" s="32">
        <f>IF(B174="","",IFERROR(INDEX(Inventario!$B$5:$B$200,MATCH(B174,Inventario!$A$5:$A$200,0)),"SKU no existe"))</f>
        <v/>
      </c>
      <c r="D174" s="28" t="n"/>
      <c r="E174" s="28" t="n"/>
      <c r="F174" s="28" t="n"/>
    </row>
    <row r="175" ht="15" customHeight="1" s="19">
      <c r="A175" s="35" t="n"/>
      <c r="B175" s="28" t="n"/>
      <c r="C175" s="32">
        <f>IF(B175="","",IFERROR(INDEX(Inventario!$B$5:$B$200,MATCH(B175,Inventario!$A$5:$A$200,0)),"SKU no existe"))</f>
        <v/>
      </c>
      <c r="D175" s="28" t="n"/>
      <c r="E175" s="28" t="n"/>
      <c r="F175" s="28" t="n"/>
    </row>
    <row r="176" ht="15" customHeight="1" s="19">
      <c r="A176" s="35" t="n"/>
      <c r="B176" s="28" t="n"/>
      <c r="C176" s="32">
        <f>IF(B176="","",IFERROR(INDEX(Inventario!$B$5:$B$200,MATCH(B176,Inventario!$A$5:$A$200,0)),"SKU no existe"))</f>
        <v/>
      </c>
      <c r="D176" s="28" t="n"/>
      <c r="E176" s="28" t="n"/>
      <c r="F176" s="28" t="n"/>
    </row>
    <row r="177" ht="15" customHeight="1" s="19">
      <c r="A177" s="35" t="n"/>
      <c r="B177" s="28" t="n"/>
      <c r="C177" s="32">
        <f>IF(B177="","",IFERROR(INDEX(Inventario!$B$5:$B$200,MATCH(B177,Inventario!$A$5:$A$200,0)),"SKU no existe"))</f>
        <v/>
      </c>
      <c r="D177" s="28" t="n"/>
      <c r="E177" s="28" t="n"/>
      <c r="F177" s="28" t="n"/>
    </row>
    <row r="178" ht="15" customHeight="1" s="19">
      <c r="A178" s="35" t="n"/>
      <c r="B178" s="28" t="n"/>
      <c r="C178" s="32">
        <f>IF(B178="","",IFERROR(INDEX(Inventario!$B$5:$B$200,MATCH(B178,Inventario!$A$5:$A$200,0)),"SKU no existe"))</f>
        <v/>
      </c>
      <c r="D178" s="28" t="n"/>
      <c r="E178" s="28" t="n"/>
      <c r="F178" s="28" t="n"/>
    </row>
    <row r="179" ht="15" customHeight="1" s="19">
      <c r="A179" s="35" t="n"/>
      <c r="B179" s="28" t="n"/>
      <c r="C179" s="32">
        <f>IF(B179="","",IFERROR(INDEX(Inventario!$B$5:$B$200,MATCH(B179,Inventario!$A$5:$A$200,0)),"SKU no existe"))</f>
        <v/>
      </c>
      <c r="D179" s="28" t="n"/>
      <c r="E179" s="28" t="n"/>
      <c r="F179" s="28" t="n"/>
    </row>
    <row r="180" ht="15" customHeight="1" s="19">
      <c r="A180" s="35" t="n"/>
      <c r="B180" s="28" t="n"/>
      <c r="C180" s="32">
        <f>IF(B180="","",IFERROR(INDEX(Inventario!$B$5:$B$200,MATCH(B180,Inventario!$A$5:$A$200,0)),"SKU no existe"))</f>
        <v/>
      </c>
      <c r="D180" s="28" t="n"/>
      <c r="E180" s="28" t="n"/>
      <c r="F180" s="28" t="n"/>
    </row>
    <row r="181" ht="15" customHeight="1" s="19">
      <c r="A181" s="35" t="n"/>
      <c r="B181" s="28" t="n"/>
      <c r="C181" s="32">
        <f>IF(B181="","",IFERROR(INDEX(Inventario!$B$5:$B$200,MATCH(B181,Inventario!$A$5:$A$200,0)),"SKU no existe"))</f>
        <v/>
      </c>
      <c r="D181" s="28" t="n"/>
      <c r="E181" s="28" t="n"/>
      <c r="F181" s="28" t="n"/>
    </row>
    <row r="182" ht="15" customHeight="1" s="19">
      <c r="A182" s="35" t="n"/>
      <c r="B182" s="28" t="n"/>
      <c r="C182" s="32">
        <f>IF(B182="","",IFERROR(INDEX(Inventario!$B$5:$B$200,MATCH(B182,Inventario!$A$5:$A$200,0)),"SKU no existe"))</f>
        <v/>
      </c>
      <c r="D182" s="28" t="n"/>
      <c r="E182" s="28" t="n"/>
      <c r="F182" s="28" t="n"/>
    </row>
    <row r="183" ht="15" customHeight="1" s="19">
      <c r="A183" s="35" t="n"/>
      <c r="B183" s="28" t="n"/>
      <c r="C183" s="32">
        <f>IF(B183="","",IFERROR(INDEX(Inventario!$B$5:$B$200,MATCH(B183,Inventario!$A$5:$A$200,0)),"SKU no existe"))</f>
        <v/>
      </c>
      <c r="D183" s="28" t="n"/>
      <c r="E183" s="28" t="n"/>
      <c r="F183" s="28" t="n"/>
    </row>
    <row r="184" ht="15" customHeight="1" s="19">
      <c r="A184" s="35" t="n"/>
      <c r="B184" s="28" t="n"/>
      <c r="C184" s="32">
        <f>IF(B184="","",IFERROR(INDEX(Inventario!$B$5:$B$200,MATCH(B184,Inventario!$A$5:$A$200,0)),"SKU no existe"))</f>
        <v/>
      </c>
      <c r="D184" s="28" t="n"/>
      <c r="E184" s="28" t="n"/>
      <c r="F184" s="28" t="n"/>
    </row>
    <row r="185" ht="15" customHeight="1" s="19">
      <c r="A185" s="35" t="n"/>
      <c r="B185" s="28" t="n"/>
      <c r="C185" s="32">
        <f>IF(B185="","",IFERROR(INDEX(Inventario!$B$5:$B$200,MATCH(B185,Inventario!$A$5:$A$200,0)),"SKU no existe"))</f>
        <v/>
      </c>
      <c r="D185" s="28" t="n"/>
      <c r="E185" s="28" t="n"/>
      <c r="F185" s="28" t="n"/>
    </row>
    <row r="186" ht="15" customHeight="1" s="19">
      <c r="A186" s="35" t="n"/>
      <c r="B186" s="28" t="n"/>
      <c r="C186" s="32">
        <f>IF(B186="","",IFERROR(INDEX(Inventario!$B$5:$B$200,MATCH(B186,Inventario!$A$5:$A$200,0)),"SKU no existe"))</f>
        <v/>
      </c>
      <c r="D186" s="28" t="n"/>
      <c r="E186" s="28" t="n"/>
      <c r="F186" s="28" t="n"/>
    </row>
    <row r="187" ht="15" customHeight="1" s="19">
      <c r="A187" s="35" t="n"/>
      <c r="B187" s="28" t="n"/>
      <c r="C187" s="32">
        <f>IF(B187="","",IFERROR(INDEX(Inventario!$B$5:$B$200,MATCH(B187,Inventario!$A$5:$A$200,0)),"SKU no existe"))</f>
        <v/>
      </c>
      <c r="D187" s="28" t="n"/>
      <c r="E187" s="28" t="n"/>
      <c r="F187" s="28" t="n"/>
    </row>
    <row r="188" ht="15" customHeight="1" s="19">
      <c r="A188" s="35" t="n"/>
      <c r="B188" s="28" t="n"/>
      <c r="C188" s="32">
        <f>IF(B188="","",IFERROR(INDEX(Inventario!$B$5:$B$200,MATCH(B188,Inventario!$A$5:$A$200,0)),"SKU no existe"))</f>
        <v/>
      </c>
      <c r="D188" s="28" t="n"/>
      <c r="E188" s="28" t="n"/>
      <c r="F188" s="28" t="n"/>
    </row>
    <row r="189" ht="15" customHeight="1" s="19">
      <c r="A189" s="35" t="n"/>
      <c r="B189" s="28" t="n"/>
      <c r="C189" s="32">
        <f>IF(B189="","",IFERROR(INDEX(Inventario!$B$5:$B$200,MATCH(B189,Inventario!$A$5:$A$200,0)),"SKU no existe"))</f>
        <v/>
      </c>
      <c r="D189" s="28" t="n"/>
      <c r="E189" s="28" t="n"/>
      <c r="F189" s="28" t="n"/>
    </row>
    <row r="190" ht="15" customHeight="1" s="19">
      <c r="A190" s="35" t="n"/>
      <c r="B190" s="28" t="n"/>
      <c r="C190" s="32">
        <f>IF(B190="","",IFERROR(INDEX(Inventario!$B$5:$B$200,MATCH(B190,Inventario!$A$5:$A$200,0)),"SKU no existe"))</f>
        <v/>
      </c>
      <c r="D190" s="28" t="n"/>
      <c r="E190" s="28" t="n"/>
      <c r="F190" s="28" t="n"/>
    </row>
    <row r="191" ht="15" customHeight="1" s="19">
      <c r="A191" s="35" t="n"/>
      <c r="B191" s="28" t="n"/>
      <c r="C191" s="32">
        <f>IF(B191="","",IFERROR(INDEX(Inventario!$B$5:$B$200,MATCH(B191,Inventario!$A$5:$A$200,0)),"SKU no existe"))</f>
        <v/>
      </c>
      <c r="D191" s="28" t="n"/>
      <c r="E191" s="28" t="n"/>
      <c r="F191" s="28" t="n"/>
    </row>
    <row r="192" ht="15" customHeight="1" s="19">
      <c r="A192" s="35" t="n"/>
      <c r="B192" s="28" t="n"/>
      <c r="C192" s="32">
        <f>IF(B192="","",IFERROR(INDEX(Inventario!$B$5:$B$200,MATCH(B192,Inventario!$A$5:$A$200,0)),"SKU no existe"))</f>
        <v/>
      </c>
      <c r="D192" s="28" t="n"/>
      <c r="E192" s="28" t="n"/>
      <c r="F192" s="28" t="n"/>
    </row>
    <row r="193" ht="15" customHeight="1" s="19">
      <c r="A193" s="35" t="n"/>
      <c r="B193" s="28" t="n"/>
      <c r="C193" s="32">
        <f>IF(B193="","",IFERROR(INDEX(Inventario!$B$5:$B$200,MATCH(B193,Inventario!$A$5:$A$200,0)),"SKU no existe"))</f>
        <v/>
      </c>
      <c r="D193" s="28" t="n"/>
      <c r="E193" s="28" t="n"/>
      <c r="F193" s="28" t="n"/>
    </row>
    <row r="194" ht="15" customHeight="1" s="19">
      <c r="A194" s="35" t="n"/>
      <c r="B194" s="28" t="n"/>
      <c r="C194" s="32">
        <f>IF(B194="","",IFERROR(INDEX(Inventario!$B$5:$B$200,MATCH(B194,Inventario!$A$5:$A$200,0)),"SKU no existe"))</f>
        <v/>
      </c>
      <c r="D194" s="28" t="n"/>
      <c r="E194" s="28" t="n"/>
      <c r="F194" s="28" t="n"/>
    </row>
    <row r="195" ht="15" customHeight="1" s="19">
      <c r="A195" s="35" t="n"/>
      <c r="B195" s="28" t="n"/>
      <c r="C195" s="32">
        <f>IF(B195="","",IFERROR(INDEX(Inventario!$B$5:$B$200,MATCH(B195,Inventario!$A$5:$A$200,0)),"SKU no existe"))</f>
        <v/>
      </c>
      <c r="D195" s="28" t="n"/>
      <c r="E195" s="28" t="n"/>
      <c r="F195" s="28" t="n"/>
    </row>
    <row r="196" ht="15" customHeight="1" s="19">
      <c r="A196" s="35" t="n"/>
      <c r="B196" s="28" t="n"/>
      <c r="C196" s="32">
        <f>IF(B196="","",IFERROR(INDEX(Inventario!$B$5:$B$200,MATCH(B196,Inventario!$A$5:$A$200,0)),"SKU no existe"))</f>
        <v/>
      </c>
      <c r="D196" s="28" t="n"/>
      <c r="E196" s="28" t="n"/>
      <c r="F196" s="28" t="n"/>
    </row>
    <row r="197" ht="15" customHeight="1" s="19">
      <c r="A197" s="35" t="n"/>
      <c r="B197" s="28" t="n"/>
      <c r="C197" s="32">
        <f>IF(B197="","",IFERROR(INDEX(Inventario!$B$5:$B$200,MATCH(B197,Inventario!$A$5:$A$200,0)),"SKU no existe"))</f>
        <v/>
      </c>
      <c r="D197" s="28" t="n"/>
      <c r="E197" s="28" t="n"/>
      <c r="F197" s="28" t="n"/>
    </row>
    <row r="198" ht="15" customHeight="1" s="19">
      <c r="A198" s="35" t="n"/>
      <c r="B198" s="28" t="n"/>
      <c r="C198" s="32">
        <f>IF(B198="","",IFERROR(INDEX(Inventario!$B$5:$B$200,MATCH(B198,Inventario!$A$5:$A$200,0)),"SKU no existe"))</f>
        <v/>
      </c>
      <c r="D198" s="28" t="n"/>
      <c r="E198" s="28" t="n"/>
      <c r="F198" s="28" t="n"/>
    </row>
    <row r="199" ht="15" customHeight="1" s="19">
      <c r="A199" s="35" t="n"/>
      <c r="B199" s="28" t="n"/>
      <c r="C199" s="32">
        <f>IF(B199="","",IFERROR(INDEX(Inventario!$B$5:$B$200,MATCH(B199,Inventario!$A$5:$A$200,0)),"SKU no existe"))</f>
        <v/>
      </c>
      <c r="D199" s="28" t="n"/>
      <c r="E199" s="28" t="n"/>
      <c r="F199" s="28" t="n"/>
    </row>
    <row r="200" ht="15" customHeight="1" s="19">
      <c r="A200" s="35" t="n"/>
      <c r="B200" s="28" t="n"/>
      <c r="C200" s="32">
        <f>IF(B200="","",IFERROR(INDEX(Inventario!$B$5:$B$200,MATCH(B200,Inventario!$A$5:$A$200,0)),"SKU no existe"))</f>
        <v/>
      </c>
      <c r="D200" s="28" t="n"/>
      <c r="E200" s="28" t="n"/>
      <c r="F200" s="28" t="n"/>
    </row>
    <row r="201" ht="15" customHeight="1" s="19">
      <c r="A201" s="35" t="n"/>
      <c r="B201" s="28" t="n"/>
      <c r="C201" s="32">
        <f>IF(B201="","",IFERROR(INDEX(Inventario!$B$5:$B$200,MATCH(B201,Inventario!$A$5:$A$200,0)),"SKU no existe"))</f>
        <v/>
      </c>
      <c r="D201" s="28" t="n"/>
      <c r="E201" s="28" t="n"/>
      <c r="F201" s="28" t="n"/>
    </row>
    <row r="202" ht="15" customHeight="1" s="19">
      <c r="A202" s="35" t="n"/>
      <c r="B202" s="28" t="n"/>
      <c r="C202" s="32">
        <f>IF(B202="","",IFERROR(INDEX(Inventario!$B$5:$B$200,MATCH(B202,Inventario!$A$5:$A$200,0)),"SKU no existe"))</f>
        <v/>
      </c>
      <c r="D202" s="28" t="n"/>
      <c r="E202" s="28" t="n"/>
      <c r="F202" s="28" t="n"/>
    </row>
    <row r="203" ht="15" customHeight="1" s="19">
      <c r="A203" s="35" t="n"/>
      <c r="B203" s="28" t="n"/>
      <c r="C203" s="32">
        <f>IF(B203="","",IFERROR(INDEX(Inventario!$B$5:$B$200,MATCH(B203,Inventario!$A$5:$A$200,0)),"SKU no existe"))</f>
        <v/>
      </c>
      <c r="D203" s="28" t="n"/>
      <c r="E203" s="28" t="n"/>
      <c r="F203" s="28" t="n"/>
    </row>
    <row r="204" ht="15" customHeight="1" s="19">
      <c r="A204" s="35" t="n"/>
      <c r="B204" s="28" t="n"/>
      <c r="C204" s="32">
        <f>IF(B204="","",IFERROR(INDEX(Inventario!$B$5:$B$200,MATCH(B204,Inventario!$A$5:$A$200,0)),"SKU no existe"))</f>
        <v/>
      </c>
      <c r="D204" s="28" t="n"/>
      <c r="E204" s="28" t="n"/>
      <c r="F204" s="28" t="n"/>
    </row>
    <row r="205" ht="15" customHeight="1" s="19">
      <c r="A205" s="35" t="n"/>
      <c r="B205" s="28" t="n"/>
      <c r="C205" s="32">
        <f>IF(B205="","",IFERROR(INDEX(Inventario!$B$5:$B$200,MATCH(B205,Inventario!$A$5:$A$200,0)),"SKU no existe"))</f>
        <v/>
      </c>
      <c r="D205" s="28" t="n"/>
      <c r="E205" s="28" t="n"/>
      <c r="F205" s="28" t="n"/>
    </row>
    <row r="206" ht="15" customHeight="1" s="19">
      <c r="A206" s="35" t="n"/>
      <c r="B206" s="28" t="n"/>
      <c r="C206" s="32">
        <f>IF(B206="","",IFERROR(INDEX(Inventario!$B$5:$B$200,MATCH(B206,Inventario!$A$5:$A$200,0)),"SKU no existe"))</f>
        <v/>
      </c>
      <c r="D206" s="28" t="n"/>
      <c r="E206" s="28" t="n"/>
      <c r="F206" s="28" t="n"/>
    </row>
    <row r="207" ht="15" customHeight="1" s="19">
      <c r="A207" s="35" t="n"/>
      <c r="B207" s="28" t="n"/>
      <c r="C207" s="32">
        <f>IF(B207="","",IFERROR(INDEX(Inventario!$B$5:$B$200,MATCH(B207,Inventario!$A$5:$A$200,0)),"SKU no existe"))</f>
        <v/>
      </c>
      <c r="D207" s="28" t="n"/>
      <c r="E207" s="28" t="n"/>
      <c r="F207" s="28" t="n"/>
    </row>
    <row r="208" ht="15" customHeight="1" s="19">
      <c r="A208" s="35" t="n"/>
      <c r="B208" s="28" t="n"/>
      <c r="C208" s="32">
        <f>IF(B208="","",IFERROR(INDEX(Inventario!$B$5:$B$200,MATCH(B208,Inventario!$A$5:$A$200,0)),"SKU no existe"))</f>
        <v/>
      </c>
      <c r="D208" s="28" t="n"/>
      <c r="E208" s="28" t="n"/>
      <c r="F208" s="28" t="n"/>
    </row>
    <row r="209" ht="15" customHeight="1" s="19">
      <c r="A209" s="35" t="n"/>
      <c r="B209" s="28" t="n"/>
      <c r="C209" s="32">
        <f>IF(B209="","",IFERROR(INDEX(Inventario!$B$5:$B$200,MATCH(B209,Inventario!$A$5:$A$200,0)),"SKU no existe"))</f>
        <v/>
      </c>
      <c r="D209" s="28" t="n"/>
      <c r="E209" s="28" t="n"/>
      <c r="F209" s="28" t="n"/>
    </row>
    <row r="210" ht="15" customHeight="1" s="19">
      <c r="A210" s="35" t="n"/>
      <c r="B210" s="28" t="n"/>
      <c r="C210" s="32">
        <f>IF(B210="","",IFERROR(INDEX(Inventario!$B$5:$B$200,MATCH(B210,Inventario!$A$5:$A$200,0)),"SKU no existe"))</f>
        <v/>
      </c>
      <c r="D210" s="28" t="n"/>
      <c r="E210" s="28" t="n"/>
      <c r="F210" s="28" t="n"/>
    </row>
    <row r="211" ht="15" customHeight="1" s="19">
      <c r="A211" s="35" t="n"/>
      <c r="B211" s="28" t="n"/>
      <c r="C211" s="32">
        <f>IF(B211="","",IFERROR(INDEX(Inventario!$B$5:$B$200,MATCH(B211,Inventario!$A$5:$A$200,0)),"SKU no existe"))</f>
        <v/>
      </c>
      <c r="D211" s="28" t="n"/>
      <c r="E211" s="28" t="n"/>
      <c r="F211" s="28" t="n"/>
    </row>
    <row r="212" ht="15" customHeight="1" s="19">
      <c r="A212" s="35" t="n"/>
      <c r="B212" s="28" t="n"/>
      <c r="C212" s="32">
        <f>IF(B212="","",IFERROR(INDEX(Inventario!$B$5:$B$200,MATCH(B212,Inventario!$A$5:$A$200,0)),"SKU no existe"))</f>
        <v/>
      </c>
      <c r="D212" s="28" t="n"/>
      <c r="E212" s="28" t="n"/>
      <c r="F212" s="28" t="n"/>
    </row>
    <row r="213" ht="15" customHeight="1" s="19">
      <c r="A213" s="35" t="n"/>
      <c r="B213" s="28" t="n"/>
      <c r="C213" s="32">
        <f>IF(B213="","",IFERROR(INDEX(Inventario!$B$5:$B$200,MATCH(B213,Inventario!$A$5:$A$200,0)),"SKU no existe"))</f>
        <v/>
      </c>
      <c r="D213" s="28" t="n"/>
      <c r="E213" s="28" t="n"/>
      <c r="F213" s="28" t="n"/>
    </row>
    <row r="214" ht="15" customHeight="1" s="19">
      <c r="A214" s="35" t="n"/>
      <c r="B214" s="28" t="n"/>
      <c r="C214" s="32">
        <f>IF(B214="","",IFERROR(INDEX(Inventario!$B$5:$B$200,MATCH(B214,Inventario!$A$5:$A$200,0)),"SKU no existe"))</f>
        <v/>
      </c>
      <c r="D214" s="28" t="n"/>
      <c r="E214" s="28" t="n"/>
      <c r="F214" s="28" t="n"/>
    </row>
    <row r="215" ht="15" customHeight="1" s="19">
      <c r="A215" s="35" t="n"/>
      <c r="B215" s="28" t="n"/>
      <c r="C215" s="32">
        <f>IF(B215="","",IFERROR(INDEX(Inventario!$B$5:$B$200,MATCH(B215,Inventario!$A$5:$A$200,0)),"SKU no existe"))</f>
        <v/>
      </c>
      <c r="D215" s="28" t="n"/>
      <c r="E215" s="28" t="n"/>
      <c r="F215" s="28" t="n"/>
    </row>
    <row r="216" ht="15" customHeight="1" s="19">
      <c r="A216" s="35" t="n"/>
      <c r="B216" s="28" t="n"/>
      <c r="C216" s="32">
        <f>IF(B216="","",IFERROR(INDEX(Inventario!$B$5:$B$200,MATCH(B216,Inventario!$A$5:$A$200,0)),"SKU no existe"))</f>
        <v/>
      </c>
      <c r="D216" s="28" t="n"/>
      <c r="E216" s="28" t="n"/>
      <c r="F216" s="28" t="n"/>
    </row>
    <row r="217" ht="15" customHeight="1" s="19">
      <c r="A217" s="35" t="n"/>
      <c r="B217" s="28" t="n"/>
      <c r="C217" s="32">
        <f>IF(B217="","",IFERROR(INDEX(Inventario!$B$5:$B$200,MATCH(B217,Inventario!$A$5:$A$200,0)),"SKU no existe"))</f>
        <v/>
      </c>
      <c r="D217" s="28" t="n"/>
      <c r="E217" s="28" t="n"/>
      <c r="F217" s="28" t="n"/>
    </row>
    <row r="218" ht="15" customHeight="1" s="19">
      <c r="A218" s="35" t="n"/>
      <c r="B218" s="28" t="n"/>
      <c r="C218" s="32">
        <f>IF(B218="","",IFERROR(INDEX(Inventario!$B$5:$B$200,MATCH(B218,Inventario!$A$5:$A$200,0)),"SKU no existe"))</f>
        <v/>
      </c>
      <c r="D218" s="28" t="n"/>
      <c r="E218" s="28" t="n"/>
      <c r="F218" s="28" t="n"/>
    </row>
    <row r="219" ht="15" customHeight="1" s="19">
      <c r="A219" s="35" t="n"/>
      <c r="B219" s="28" t="n"/>
      <c r="C219" s="32">
        <f>IF(B219="","",IFERROR(INDEX(Inventario!$B$5:$B$200,MATCH(B219,Inventario!$A$5:$A$200,0)),"SKU no existe"))</f>
        <v/>
      </c>
      <c r="D219" s="28" t="n"/>
      <c r="E219" s="28" t="n"/>
      <c r="F219" s="28" t="n"/>
    </row>
    <row r="220" ht="15" customHeight="1" s="19">
      <c r="A220" s="35" t="n"/>
      <c r="B220" s="28" t="n"/>
      <c r="C220" s="32">
        <f>IF(B220="","",IFERROR(INDEX(Inventario!$B$5:$B$200,MATCH(B220,Inventario!$A$5:$A$200,0)),"SKU no existe"))</f>
        <v/>
      </c>
      <c r="D220" s="28" t="n"/>
      <c r="E220" s="28" t="n"/>
      <c r="F220" s="28" t="n"/>
    </row>
    <row r="221" ht="15" customHeight="1" s="19">
      <c r="A221" s="35" t="n"/>
      <c r="B221" s="28" t="n"/>
      <c r="C221" s="32">
        <f>IF(B221="","",IFERROR(INDEX(Inventario!$B$5:$B$200,MATCH(B221,Inventario!$A$5:$A$200,0)),"SKU no existe"))</f>
        <v/>
      </c>
      <c r="D221" s="28" t="n"/>
      <c r="E221" s="28" t="n"/>
      <c r="F221" s="28" t="n"/>
    </row>
    <row r="222" ht="15" customHeight="1" s="19">
      <c r="A222" s="35" t="n"/>
      <c r="B222" s="28" t="n"/>
      <c r="C222" s="32">
        <f>IF(B222="","",IFERROR(INDEX(Inventario!$B$5:$B$200,MATCH(B222,Inventario!$A$5:$A$200,0)),"SKU no existe"))</f>
        <v/>
      </c>
      <c r="D222" s="28" t="n"/>
      <c r="E222" s="28" t="n"/>
      <c r="F222" s="28" t="n"/>
    </row>
    <row r="223" ht="15" customHeight="1" s="19">
      <c r="A223" s="35" t="n"/>
      <c r="B223" s="28" t="n"/>
      <c r="C223" s="32">
        <f>IF(B223="","",IFERROR(INDEX(Inventario!$B$5:$B$200,MATCH(B223,Inventario!$A$5:$A$200,0)),"SKU no existe"))</f>
        <v/>
      </c>
      <c r="D223" s="28" t="n"/>
      <c r="E223" s="28" t="n"/>
      <c r="F223" s="28" t="n"/>
    </row>
    <row r="224" ht="15" customHeight="1" s="19">
      <c r="A224" s="35" t="n"/>
      <c r="B224" s="28" t="n"/>
      <c r="C224" s="32">
        <f>IF(B224="","",IFERROR(INDEX(Inventario!$B$5:$B$200,MATCH(B224,Inventario!$A$5:$A$200,0)),"SKU no existe"))</f>
        <v/>
      </c>
      <c r="D224" s="28" t="n"/>
      <c r="E224" s="28" t="n"/>
      <c r="F224" s="28" t="n"/>
    </row>
    <row r="225" ht="15" customHeight="1" s="19">
      <c r="A225" s="35" t="n"/>
      <c r="B225" s="28" t="n"/>
      <c r="C225" s="32">
        <f>IF(B225="","",IFERROR(INDEX(Inventario!$B$5:$B$200,MATCH(B225,Inventario!$A$5:$A$200,0)),"SKU no existe"))</f>
        <v/>
      </c>
      <c r="D225" s="28" t="n"/>
      <c r="E225" s="28" t="n"/>
      <c r="F225" s="28" t="n"/>
    </row>
    <row r="226" ht="15" customHeight="1" s="19">
      <c r="A226" s="35" t="n"/>
      <c r="B226" s="28" t="n"/>
      <c r="C226" s="32">
        <f>IF(B226="","",IFERROR(INDEX(Inventario!$B$5:$B$200,MATCH(B226,Inventario!$A$5:$A$200,0)),"SKU no existe"))</f>
        <v/>
      </c>
      <c r="D226" s="28" t="n"/>
      <c r="E226" s="28" t="n"/>
      <c r="F226" s="28" t="n"/>
    </row>
    <row r="227" ht="15" customHeight="1" s="19">
      <c r="A227" s="35" t="n"/>
      <c r="B227" s="28" t="n"/>
      <c r="C227" s="32">
        <f>IF(B227="","",IFERROR(INDEX(Inventario!$B$5:$B$200,MATCH(B227,Inventario!$A$5:$A$200,0)),"SKU no existe"))</f>
        <v/>
      </c>
      <c r="D227" s="28" t="n"/>
      <c r="E227" s="28" t="n"/>
      <c r="F227" s="28" t="n"/>
    </row>
    <row r="228" ht="15" customHeight="1" s="19">
      <c r="A228" s="35" t="n"/>
      <c r="B228" s="28" t="n"/>
      <c r="C228" s="32">
        <f>IF(B228="","",IFERROR(INDEX(Inventario!$B$5:$B$200,MATCH(B228,Inventario!$A$5:$A$200,0)),"SKU no existe"))</f>
        <v/>
      </c>
      <c r="D228" s="28" t="n"/>
      <c r="E228" s="28" t="n"/>
      <c r="F228" s="28" t="n"/>
    </row>
    <row r="229" ht="15" customHeight="1" s="19">
      <c r="A229" s="35" t="n"/>
      <c r="B229" s="28" t="n"/>
      <c r="C229" s="32">
        <f>IF(B229="","",IFERROR(INDEX(Inventario!$B$5:$B$200,MATCH(B229,Inventario!$A$5:$A$200,0)),"SKU no existe"))</f>
        <v/>
      </c>
      <c r="D229" s="28" t="n"/>
      <c r="E229" s="28" t="n"/>
      <c r="F229" s="28" t="n"/>
    </row>
    <row r="230" ht="15" customHeight="1" s="19">
      <c r="A230" s="35" t="n"/>
      <c r="B230" s="28" t="n"/>
      <c r="C230" s="32">
        <f>IF(B230="","",IFERROR(INDEX(Inventario!$B$5:$B$200,MATCH(B230,Inventario!$A$5:$A$200,0)),"SKU no existe"))</f>
        <v/>
      </c>
      <c r="D230" s="28" t="n"/>
      <c r="E230" s="28" t="n"/>
      <c r="F230" s="28" t="n"/>
    </row>
    <row r="231" ht="15" customHeight="1" s="19">
      <c r="A231" s="35" t="n"/>
      <c r="B231" s="28" t="n"/>
      <c r="C231" s="32">
        <f>IF(B231="","",IFERROR(INDEX(Inventario!$B$5:$B$200,MATCH(B231,Inventario!$A$5:$A$200,0)),"SKU no existe"))</f>
        <v/>
      </c>
      <c r="D231" s="28" t="n"/>
      <c r="E231" s="28" t="n"/>
      <c r="F231" s="28" t="n"/>
    </row>
    <row r="232" ht="15" customHeight="1" s="19">
      <c r="A232" s="35" t="n"/>
      <c r="B232" s="28" t="n"/>
      <c r="C232" s="32">
        <f>IF(B232="","",IFERROR(INDEX(Inventario!$B$5:$B$200,MATCH(B232,Inventario!$A$5:$A$200,0)),"SKU no existe"))</f>
        <v/>
      </c>
      <c r="D232" s="28" t="n"/>
      <c r="E232" s="28" t="n"/>
      <c r="F232" s="28" t="n"/>
    </row>
    <row r="233" ht="15" customHeight="1" s="19">
      <c r="A233" s="35" t="n"/>
      <c r="B233" s="28" t="n"/>
      <c r="C233" s="32">
        <f>IF(B233="","",IFERROR(INDEX(Inventario!$B$5:$B$200,MATCH(B233,Inventario!$A$5:$A$200,0)),"SKU no existe"))</f>
        <v/>
      </c>
      <c r="D233" s="28" t="n"/>
      <c r="E233" s="28" t="n"/>
      <c r="F233" s="28" t="n"/>
    </row>
    <row r="234" ht="15" customHeight="1" s="19">
      <c r="A234" s="35" t="n"/>
      <c r="B234" s="28" t="n"/>
      <c r="C234" s="32">
        <f>IF(B234="","",IFERROR(INDEX(Inventario!$B$5:$B$200,MATCH(B234,Inventario!$A$5:$A$200,0)),"SKU no existe"))</f>
        <v/>
      </c>
      <c r="D234" s="28" t="n"/>
      <c r="E234" s="28" t="n"/>
      <c r="F234" s="28" t="n"/>
    </row>
    <row r="235" ht="15" customHeight="1" s="19">
      <c r="A235" s="35" t="n"/>
      <c r="B235" s="28" t="n"/>
      <c r="C235" s="32">
        <f>IF(B235="","",IFERROR(INDEX(Inventario!$B$5:$B$200,MATCH(B235,Inventario!$A$5:$A$200,0)),"SKU no existe"))</f>
        <v/>
      </c>
      <c r="D235" s="28" t="n"/>
      <c r="E235" s="28" t="n"/>
      <c r="F235" s="28" t="n"/>
    </row>
    <row r="236" ht="15" customHeight="1" s="19">
      <c r="A236" s="35" t="n"/>
      <c r="B236" s="28" t="n"/>
      <c r="C236" s="32">
        <f>IF(B236="","",IFERROR(INDEX(Inventario!$B$5:$B$200,MATCH(B236,Inventario!$A$5:$A$200,0)),"SKU no existe"))</f>
        <v/>
      </c>
      <c r="D236" s="28" t="n"/>
      <c r="E236" s="28" t="n"/>
      <c r="F236" s="28" t="n"/>
    </row>
    <row r="237" ht="15" customHeight="1" s="19">
      <c r="A237" s="35" t="n"/>
      <c r="B237" s="28" t="n"/>
      <c r="C237" s="32">
        <f>IF(B237="","",IFERROR(INDEX(Inventario!$B$5:$B$200,MATCH(B237,Inventario!$A$5:$A$200,0)),"SKU no existe"))</f>
        <v/>
      </c>
      <c r="D237" s="28" t="n"/>
      <c r="E237" s="28" t="n"/>
      <c r="F237" s="28" t="n"/>
    </row>
    <row r="238" ht="15" customHeight="1" s="19">
      <c r="A238" s="35" t="n"/>
      <c r="B238" s="28" t="n"/>
      <c r="C238" s="32">
        <f>IF(B238="","",IFERROR(INDEX(Inventario!$B$5:$B$200,MATCH(B238,Inventario!$A$5:$A$200,0)),"SKU no existe"))</f>
        <v/>
      </c>
      <c r="D238" s="28" t="n"/>
      <c r="E238" s="28" t="n"/>
      <c r="F238" s="28" t="n"/>
    </row>
    <row r="239" ht="15" customHeight="1" s="19">
      <c r="A239" s="35" t="n"/>
      <c r="B239" s="28" t="n"/>
      <c r="C239" s="32">
        <f>IF(B239="","",IFERROR(INDEX(Inventario!$B$5:$B$200,MATCH(B239,Inventario!$A$5:$A$200,0)),"SKU no existe"))</f>
        <v/>
      </c>
      <c r="D239" s="28" t="n"/>
      <c r="E239" s="28" t="n"/>
      <c r="F239" s="28" t="n"/>
    </row>
    <row r="240" ht="15" customHeight="1" s="19">
      <c r="A240" s="35" t="n"/>
      <c r="B240" s="28" t="n"/>
      <c r="C240" s="32">
        <f>IF(B240="","",IFERROR(INDEX(Inventario!$B$5:$B$200,MATCH(B240,Inventario!$A$5:$A$200,0)),"SKU no existe"))</f>
        <v/>
      </c>
      <c r="D240" s="28" t="n"/>
      <c r="E240" s="28" t="n"/>
      <c r="F240" s="28" t="n"/>
    </row>
    <row r="241" ht="15" customHeight="1" s="19">
      <c r="A241" s="35" t="n"/>
      <c r="B241" s="28" t="n"/>
      <c r="C241" s="32">
        <f>IF(B241="","",IFERROR(INDEX(Inventario!$B$5:$B$200,MATCH(B241,Inventario!$A$5:$A$200,0)),"SKU no existe"))</f>
        <v/>
      </c>
      <c r="D241" s="28" t="n"/>
      <c r="E241" s="28" t="n"/>
      <c r="F241" s="28" t="n"/>
    </row>
    <row r="242" ht="15" customHeight="1" s="19">
      <c r="A242" s="35" t="n"/>
      <c r="B242" s="28" t="n"/>
      <c r="C242" s="32">
        <f>IF(B242="","",IFERROR(INDEX(Inventario!$B$5:$B$200,MATCH(B242,Inventario!$A$5:$A$200,0)),"SKU no existe"))</f>
        <v/>
      </c>
      <c r="D242" s="28" t="n"/>
      <c r="E242" s="28" t="n"/>
      <c r="F242" s="28" t="n"/>
    </row>
    <row r="243" ht="15" customHeight="1" s="19">
      <c r="A243" s="35" t="n"/>
      <c r="B243" s="28" t="n"/>
      <c r="C243" s="32">
        <f>IF(B243="","",IFERROR(INDEX(Inventario!$B$5:$B$200,MATCH(B243,Inventario!$A$5:$A$200,0)),"SKU no existe"))</f>
        <v/>
      </c>
      <c r="D243" s="28" t="n"/>
      <c r="E243" s="28" t="n"/>
      <c r="F243" s="28" t="n"/>
    </row>
    <row r="244" ht="15" customHeight="1" s="19">
      <c r="A244" s="35" t="n"/>
      <c r="B244" s="28" t="n"/>
      <c r="C244" s="32">
        <f>IF(B244="","",IFERROR(INDEX(Inventario!$B$5:$B$200,MATCH(B244,Inventario!$A$5:$A$200,0)),"SKU no existe"))</f>
        <v/>
      </c>
      <c r="D244" s="28" t="n"/>
      <c r="E244" s="28" t="n"/>
      <c r="F244" s="28" t="n"/>
    </row>
    <row r="245" ht="15" customHeight="1" s="19">
      <c r="A245" s="35" t="n"/>
      <c r="B245" s="28" t="n"/>
      <c r="C245" s="32">
        <f>IF(B245="","",IFERROR(INDEX(Inventario!$B$5:$B$200,MATCH(B245,Inventario!$A$5:$A$200,0)),"SKU no existe"))</f>
        <v/>
      </c>
      <c r="D245" s="28" t="n"/>
      <c r="E245" s="28" t="n"/>
      <c r="F245" s="28" t="n"/>
    </row>
    <row r="246" ht="15" customHeight="1" s="19">
      <c r="A246" s="35" t="n"/>
      <c r="B246" s="28" t="n"/>
      <c r="C246" s="32">
        <f>IF(B246="","",IFERROR(INDEX(Inventario!$B$5:$B$200,MATCH(B246,Inventario!$A$5:$A$200,0)),"SKU no existe"))</f>
        <v/>
      </c>
      <c r="D246" s="28" t="n"/>
      <c r="E246" s="28" t="n"/>
      <c r="F246" s="28" t="n"/>
    </row>
    <row r="247" ht="15" customHeight="1" s="19">
      <c r="A247" s="35" t="n"/>
      <c r="B247" s="28" t="n"/>
      <c r="C247" s="32">
        <f>IF(B247="","",IFERROR(INDEX(Inventario!$B$5:$B$200,MATCH(B247,Inventario!$A$5:$A$200,0)),"SKU no existe"))</f>
        <v/>
      </c>
      <c r="D247" s="28" t="n"/>
      <c r="E247" s="28" t="n"/>
      <c r="F247" s="28" t="n"/>
    </row>
    <row r="248" ht="15" customHeight="1" s="19">
      <c r="A248" s="35" t="n"/>
      <c r="B248" s="28" t="n"/>
      <c r="C248" s="32">
        <f>IF(B248="","",IFERROR(INDEX(Inventario!$B$5:$B$200,MATCH(B248,Inventario!$A$5:$A$200,0)),"SKU no existe"))</f>
        <v/>
      </c>
      <c r="D248" s="28" t="n"/>
      <c r="E248" s="28" t="n"/>
      <c r="F248" s="28" t="n"/>
    </row>
    <row r="249" ht="15" customHeight="1" s="19">
      <c r="A249" s="35" t="n"/>
      <c r="B249" s="28" t="n"/>
      <c r="C249" s="32">
        <f>IF(B249="","",IFERROR(INDEX(Inventario!$B$5:$B$200,MATCH(B249,Inventario!$A$5:$A$200,0)),"SKU no existe"))</f>
        <v/>
      </c>
      <c r="D249" s="28" t="n"/>
      <c r="E249" s="28" t="n"/>
      <c r="F249" s="28" t="n"/>
    </row>
    <row r="250" ht="15" customHeight="1" s="19">
      <c r="A250" s="35" t="n"/>
      <c r="B250" s="28" t="n"/>
      <c r="C250" s="32">
        <f>IF(B250="","",IFERROR(INDEX(Inventario!$B$5:$B$200,MATCH(B250,Inventario!$A$5:$A$200,0)),"SKU no existe"))</f>
        <v/>
      </c>
      <c r="D250" s="28" t="n"/>
      <c r="E250" s="28" t="n"/>
      <c r="F250" s="28" t="n"/>
    </row>
    <row r="251" ht="15" customHeight="1" s="19">
      <c r="A251" s="35" t="n"/>
      <c r="B251" s="28" t="n"/>
      <c r="C251" s="32">
        <f>IF(B251="","",IFERROR(INDEX(Inventario!$B$5:$B$200,MATCH(B251,Inventario!$A$5:$A$200,0)),"SKU no existe"))</f>
        <v/>
      </c>
      <c r="D251" s="28" t="n"/>
      <c r="E251" s="28" t="n"/>
      <c r="F251" s="28" t="n"/>
    </row>
    <row r="252" ht="15" customHeight="1" s="19">
      <c r="A252" s="35" t="n"/>
      <c r="B252" s="28" t="n"/>
      <c r="C252" s="32">
        <f>IF(B252="","",IFERROR(INDEX(Inventario!$B$5:$B$200,MATCH(B252,Inventario!$A$5:$A$200,0)),"SKU no existe"))</f>
        <v/>
      </c>
      <c r="D252" s="28" t="n"/>
      <c r="E252" s="28" t="n"/>
      <c r="F252" s="28" t="n"/>
    </row>
    <row r="253" ht="15" customHeight="1" s="19">
      <c r="A253" s="35" t="n"/>
      <c r="B253" s="28" t="n"/>
      <c r="C253" s="32">
        <f>IF(B253="","",IFERROR(INDEX(Inventario!$B$5:$B$200,MATCH(B253,Inventario!$A$5:$A$200,0)),"SKU no existe"))</f>
        <v/>
      </c>
      <c r="D253" s="28" t="n"/>
      <c r="E253" s="28" t="n"/>
      <c r="F253" s="28" t="n"/>
    </row>
    <row r="254" ht="15" customHeight="1" s="19">
      <c r="A254" s="35" t="n"/>
      <c r="B254" s="28" t="n"/>
      <c r="C254" s="32">
        <f>IF(B254="","",IFERROR(INDEX(Inventario!$B$5:$B$200,MATCH(B254,Inventario!$A$5:$A$200,0)),"SKU no existe"))</f>
        <v/>
      </c>
      <c r="D254" s="28" t="n"/>
      <c r="E254" s="28" t="n"/>
      <c r="F254" s="28" t="n"/>
    </row>
    <row r="255" ht="15" customHeight="1" s="19">
      <c r="A255" s="35" t="n"/>
      <c r="B255" s="28" t="n"/>
      <c r="C255" s="32">
        <f>IF(B255="","",IFERROR(INDEX(Inventario!$B$5:$B$200,MATCH(B255,Inventario!$A$5:$A$200,0)),"SKU no existe"))</f>
        <v/>
      </c>
      <c r="D255" s="28" t="n"/>
      <c r="E255" s="28" t="n"/>
      <c r="F255" s="28" t="n"/>
    </row>
    <row r="256" ht="15" customHeight="1" s="19">
      <c r="A256" s="35" t="n"/>
      <c r="B256" s="28" t="n"/>
      <c r="C256" s="32">
        <f>IF(B256="","",IFERROR(INDEX(Inventario!$B$5:$B$200,MATCH(B256,Inventario!$A$5:$A$200,0)),"SKU no existe"))</f>
        <v/>
      </c>
      <c r="D256" s="28" t="n"/>
      <c r="E256" s="28" t="n"/>
      <c r="F256" s="28" t="n"/>
    </row>
    <row r="257" ht="15" customHeight="1" s="19">
      <c r="A257" s="35" t="n"/>
      <c r="B257" s="28" t="n"/>
      <c r="C257" s="32">
        <f>IF(B257="","",IFERROR(INDEX(Inventario!$B$5:$B$200,MATCH(B257,Inventario!$A$5:$A$200,0)),"SKU no existe"))</f>
        <v/>
      </c>
      <c r="D257" s="28" t="n"/>
      <c r="E257" s="28" t="n"/>
      <c r="F257" s="28" t="n"/>
    </row>
    <row r="258" ht="15" customHeight="1" s="19">
      <c r="A258" s="35" t="n"/>
      <c r="B258" s="28" t="n"/>
      <c r="C258" s="32">
        <f>IF(B258="","",IFERROR(INDEX(Inventario!$B$5:$B$200,MATCH(B258,Inventario!$A$5:$A$200,0)),"SKU no existe"))</f>
        <v/>
      </c>
      <c r="D258" s="28" t="n"/>
      <c r="E258" s="28" t="n"/>
      <c r="F258" s="28" t="n"/>
    </row>
    <row r="259" ht="15" customHeight="1" s="19">
      <c r="A259" s="35" t="n"/>
      <c r="B259" s="28" t="n"/>
      <c r="C259" s="32">
        <f>IF(B259="","",IFERROR(INDEX(Inventario!$B$5:$B$200,MATCH(B259,Inventario!$A$5:$A$200,0)),"SKU no existe"))</f>
        <v/>
      </c>
      <c r="D259" s="28" t="n"/>
      <c r="E259" s="28" t="n"/>
      <c r="F259" s="28" t="n"/>
    </row>
    <row r="260" ht="15" customHeight="1" s="19">
      <c r="A260" s="35" t="n"/>
      <c r="B260" s="28" t="n"/>
      <c r="C260" s="32">
        <f>IF(B260="","",IFERROR(INDEX(Inventario!$B$5:$B$200,MATCH(B260,Inventario!$A$5:$A$200,0)),"SKU no existe"))</f>
        <v/>
      </c>
      <c r="D260" s="28" t="n"/>
      <c r="E260" s="28" t="n"/>
      <c r="F260" s="28" t="n"/>
    </row>
    <row r="261" ht="15" customHeight="1" s="19">
      <c r="A261" s="35" t="n"/>
      <c r="B261" s="28" t="n"/>
      <c r="C261" s="32">
        <f>IF(B261="","",IFERROR(INDEX(Inventario!$B$5:$B$200,MATCH(B261,Inventario!$A$5:$A$200,0)),"SKU no existe"))</f>
        <v/>
      </c>
      <c r="D261" s="28" t="n"/>
      <c r="E261" s="28" t="n"/>
      <c r="F261" s="28" t="n"/>
    </row>
    <row r="262" ht="15" customHeight="1" s="19">
      <c r="A262" s="35" t="n"/>
      <c r="B262" s="28" t="n"/>
      <c r="C262" s="32">
        <f>IF(B262="","",IFERROR(INDEX(Inventario!$B$5:$B$200,MATCH(B262,Inventario!$A$5:$A$200,0)),"SKU no existe"))</f>
        <v/>
      </c>
      <c r="D262" s="28" t="n"/>
      <c r="E262" s="28" t="n"/>
      <c r="F262" s="28" t="n"/>
    </row>
    <row r="263" ht="15" customHeight="1" s="19">
      <c r="A263" s="35" t="n"/>
      <c r="B263" s="28" t="n"/>
      <c r="C263" s="32">
        <f>IF(B263="","",IFERROR(INDEX(Inventario!$B$5:$B$200,MATCH(B263,Inventario!$A$5:$A$200,0)),"SKU no existe"))</f>
        <v/>
      </c>
      <c r="D263" s="28" t="n"/>
      <c r="E263" s="28" t="n"/>
      <c r="F263" s="28" t="n"/>
    </row>
    <row r="264" ht="15" customHeight="1" s="19">
      <c r="A264" s="35" t="n"/>
      <c r="B264" s="28" t="n"/>
      <c r="C264" s="32">
        <f>IF(B264="","",IFERROR(INDEX(Inventario!$B$5:$B$200,MATCH(B264,Inventario!$A$5:$A$200,0)),"SKU no existe"))</f>
        <v/>
      </c>
      <c r="D264" s="28" t="n"/>
      <c r="E264" s="28" t="n"/>
      <c r="F264" s="28" t="n"/>
    </row>
    <row r="265" ht="15" customHeight="1" s="19">
      <c r="A265" s="35" t="n"/>
      <c r="B265" s="28" t="n"/>
      <c r="C265" s="32">
        <f>IF(B265="","",IFERROR(INDEX(Inventario!$B$5:$B$200,MATCH(B265,Inventario!$A$5:$A$200,0)),"SKU no existe"))</f>
        <v/>
      </c>
      <c r="D265" s="28" t="n"/>
      <c r="E265" s="28" t="n"/>
      <c r="F265" s="28" t="n"/>
    </row>
    <row r="266" ht="15" customHeight="1" s="19">
      <c r="A266" s="35" t="n"/>
      <c r="B266" s="28" t="n"/>
      <c r="C266" s="32">
        <f>IF(B266="","",IFERROR(INDEX(Inventario!$B$5:$B$200,MATCH(B266,Inventario!$A$5:$A$200,0)),"SKU no existe"))</f>
        <v/>
      </c>
      <c r="D266" s="28" t="n"/>
      <c r="E266" s="28" t="n"/>
      <c r="F266" s="28" t="n"/>
    </row>
    <row r="267" ht="15" customHeight="1" s="19">
      <c r="A267" s="35" t="n"/>
      <c r="B267" s="28" t="n"/>
      <c r="C267" s="32">
        <f>IF(B267="","",IFERROR(INDEX(Inventario!$B$5:$B$200,MATCH(B267,Inventario!$A$5:$A$200,0)),"SKU no existe"))</f>
        <v/>
      </c>
      <c r="D267" s="28" t="n"/>
      <c r="E267" s="28" t="n"/>
      <c r="F267" s="28" t="n"/>
    </row>
    <row r="268" ht="15" customHeight="1" s="19">
      <c r="A268" s="35" t="n"/>
      <c r="B268" s="28" t="n"/>
      <c r="C268" s="32">
        <f>IF(B268="","",IFERROR(INDEX(Inventario!$B$5:$B$200,MATCH(B268,Inventario!$A$5:$A$200,0)),"SKU no existe"))</f>
        <v/>
      </c>
      <c r="D268" s="28" t="n"/>
      <c r="E268" s="28" t="n"/>
      <c r="F268" s="28" t="n"/>
    </row>
    <row r="269" ht="15" customHeight="1" s="19">
      <c r="A269" s="35" t="n"/>
      <c r="B269" s="28" t="n"/>
      <c r="C269" s="32">
        <f>IF(B269="","",IFERROR(INDEX(Inventario!$B$5:$B$200,MATCH(B269,Inventario!$A$5:$A$200,0)),"SKU no existe"))</f>
        <v/>
      </c>
      <c r="D269" s="28" t="n"/>
      <c r="E269" s="28" t="n"/>
      <c r="F269" s="28" t="n"/>
    </row>
    <row r="270" ht="15" customHeight="1" s="19">
      <c r="A270" s="35" t="n"/>
      <c r="B270" s="28" t="n"/>
      <c r="C270" s="32">
        <f>IF(B270="","",IFERROR(INDEX(Inventario!$B$5:$B$200,MATCH(B270,Inventario!$A$5:$A$200,0)),"SKU no existe"))</f>
        <v/>
      </c>
      <c r="D270" s="28" t="n"/>
      <c r="E270" s="28" t="n"/>
      <c r="F270" s="28" t="n"/>
    </row>
    <row r="271" ht="15" customHeight="1" s="19">
      <c r="A271" s="35" t="n"/>
      <c r="B271" s="28" t="n"/>
      <c r="C271" s="32">
        <f>IF(B271="","",IFERROR(INDEX(Inventario!$B$5:$B$200,MATCH(B271,Inventario!$A$5:$A$200,0)),"SKU no existe"))</f>
        <v/>
      </c>
      <c r="D271" s="28" t="n"/>
      <c r="E271" s="28" t="n"/>
      <c r="F271" s="28" t="n"/>
    </row>
    <row r="272" ht="15" customHeight="1" s="19">
      <c r="A272" s="35" t="n"/>
      <c r="B272" s="28" t="n"/>
      <c r="C272" s="32">
        <f>IF(B272="","",IFERROR(INDEX(Inventario!$B$5:$B$200,MATCH(B272,Inventario!$A$5:$A$200,0)),"SKU no existe"))</f>
        <v/>
      </c>
      <c r="D272" s="28" t="n"/>
      <c r="E272" s="28" t="n"/>
      <c r="F272" s="28" t="n"/>
    </row>
    <row r="273" ht="15" customHeight="1" s="19">
      <c r="A273" s="35" t="n"/>
      <c r="B273" s="28" t="n"/>
      <c r="C273" s="32">
        <f>IF(B273="","",IFERROR(INDEX(Inventario!$B$5:$B$200,MATCH(B273,Inventario!$A$5:$A$200,0)),"SKU no existe"))</f>
        <v/>
      </c>
      <c r="D273" s="28" t="n"/>
      <c r="E273" s="28" t="n"/>
      <c r="F273" s="28" t="n"/>
    </row>
    <row r="274" ht="15" customHeight="1" s="19">
      <c r="A274" s="35" t="n"/>
      <c r="B274" s="28" t="n"/>
      <c r="C274" s="32">
        <f>IF(B274="","",IFERROR(INDEX(Inventario!$B$5:$B$200,MATCH(B274,Inventario!$A$5:$A$200,0)),"SKU no existe"))</f>
        <v/>
      </c>
      <c r="D274" s="28" t="n"/>
      <c r="E274" s="28" t="n"/>
      <c r="F274" s="28" t="n"/>
    </row>
    <row r="275" ht="15" customHeight="1" s="19">
      <c r="A275" s="35" t="n"/>
      <c r="B275" s="28" t="n"/>
      <c r="C275" s="32">
        <f>IF(B275="","",IFERROR(INDEX(Inventario!$B$5:$B$200,MATCH(B275,Inventario!$A$5:$A$200,0)),"SKU no existe"))</f>
        <v/>
      </c>
      <c r="D275" s="28" t="n"/>
      <c r="E275" s="28" t="n"/>
      <c r="F275" s="28" t="n"/>
    </row>
    <row r="276" ht="15" customHeight="1" s="19">
      <c r="A276" s="35" t="n"/>
      <c r="B276" s="28" t="n"/>
      <c r="C276" s="32">
        <f>IF(B276="","",IFERROR(INDEX(Inventario!$B$5:$B$200,MATCH(B276,Inventario!$A$5:$A$200,0)),"SKU no existe"))</f>
        <v/>
      </c>
      <c r="D276" s="28" t="n"/>
      <c r="E276" s="28" t="n"/>
      <c r="F276" s="28" t="n"/>
    </row>
    <row r="277" ht="15" customHeight="1" s="19">
      <c r="A277" s="35" t="n"/>
      <c r="B277" s="28" t="n"/>
      <c r="C277" s="32">
        <f>IF(B277="","",IFERROR(INDEX(Inventario!$B$5:$B$200,MATCH(B277,Inventario!$A$5:$A$200,0)),"SKU no existe"))</f>
        <v/>
      </c>
      <c r="D277" s="28" t="n"/>
      <c r="E277" s="28" t="n"/>
      <c r="F277" s="28" t="n"/>
    </row>
    <row r="278" ht="15" customHeight="1" s="19">
      <c r="A278" s="35" t="n"/>
      <c r="B278" s="28" t="n"/>
      <c r="C278" s="32">
        <f>IF(B278="","",IFERROR(INDEX(Inventario!$B$5:$B$200,MATCH(B278,Inventario!$A$5:$A$200,0)),"SKU no existe"))</f>
        <v/>
      </c>
      <c r="D278" s="28" t="n"/>
      <c r="E278" s="28" t="n"/>
      <c r="F278" s="28" t="n"/>
    </row>
    <row r="279" ht="15" customHeight="1" s="19">
      <c r="A279" s="35" t="n"/>
      <c r="B279" s="28" t="n"/>
      <c r="C279" s="32">
        <f>IF(B279="","",IFERROR(INDEX(Inventario!$B$5:$B$200,MATCH(B279,Inventario!$A$5:$A$200,0)),"SKU no existe"))</f>
        <v/>
      </c>
      <c r="D279" s="28" t="n"/>
      <c r="E279" s="28" t="n"/>
      <c r="F279" s="28" t="n"/>
    </row>
    <row r="280" ht="15" customHeight="1" s="19">
      <c r="A280" s="35" t="n"/>
      <c r="B280" s="28" t="n"/>
      <c r="C280" s="32">
        <f>IF(B280="","",IFERROR(INDEX(Inventario!$B$5:$B$200,MATCH(B280,Inventario!$A$5:$A$200,0)),"SKU no existe"))</f>
        <v/>
      </c>
      <c r="D280" s="28" t="n"/>
      <c r="E280" s="28" t="n"/>
      <c r="F280" s="28" t="n"/>
    </row>
    <row r="281" ht="15" customHeight="1" s="19">
      <c r="A281" s="35" t="n"/>
      <c r="B281" s="28" t="n"/>
      <c r="C281" s="32">
        <f>IF(B281="","",IFERROR(INDEX(Inventario!$B$5:$B$200,MATCH(B281,Inventario!$A$5:$A$200,0)),"SKU no existe"))</f>
        <v/>
      </c>
      <c r="D281" s="28" t="n"/>
      <c r="E281" s="28" t="n"/>
      <c r="F281" s="28" t="n"/>
    </row>
    <row r="282" ht="15" customHeight="1" s="19">
      <c r="A282" s="35" t="n"/>
      <c r="B282" s="28" t="n"/>
      <c r="C282" s="32">
        <f>IF(B282="","",IFERROR(INDEX(Inventario!$B$5:$B$200,MATCH(B282,Inventario!$A$5:$A$200,0)),"SKU no existe"))</f>
        <v/>
      </c>
      <c r="D282" s="28" t="n"/>
      <c r="E282" s="28" t="n"/>
      <c r="F282" s="28" t="n"/>
    </row>
    <row r="283" ht="15" customHeight="1" s="19">
      <c r="A283" s="35" t="n"/>
      <c r="B283" s="28" t="n"/>
      <c r="C283" s="32">
        <f>IF(B283="","",IFERROR(INDEX(Inventario!$B$5:$B$200,MATCH(B283,Inventario!$A$5:$A$200,0)),"SKU no existe"))</f>
        <v/>
      </c>
      <c r="D283" s="28" t="n"/>
      <c r="E283" s="28" t="n"/>
      <c r="F283" s="28" t="n"/>
    </row>
    <row r="284" ht="15" customHeight="1" s="19">
      <c r="A284" s="35" t="n"/>
      <c r="B284" s="28" t="n"/>
      <c r="C284" s="32">
        <f>IF(B284="","",IFERROR(INDEX(Inventario!$B$5:$B$200,MATCH(B284,Inventario!$A$5:$A$200,0)),"SKU no existe"))</f>
        <v/>
      </c>
      <c r="D284" s="28" t="n"/>
      <c r="E284" s="28" t="n"/>
      <c r="F284" s="28" t="n"/>
    </row>
    <row r="285" ht="15" customHeight="1" s="19">
      <c r="A285" s="35" t="n"/>
      <c r="B285" s="28" t="n"/>
      <c r="C285" s="32">
        <f>IF(B285="","",IFERROR(INDEX(Inventario!$B$5:$B$200,MATCH(B285,Inventario!$A$5:$A$200,0)),"SKU no existe"))</f>
        <v/>
      </c>
      <c r="D285" s="28" t="n"/>
      <c r="E285" s="28" t="n"/>
      <c r="F285" s="28" t="n"/>
    </row>
    <row r="286" ht="15" customHeight="1" s="19">
      <c r="A286" s="35" t="n"/>
      <c r="B286" s="28" t="n"/>
      <c r="C286" s="32">
        <f>IF(B286="","",IFERROR(INDEX(Inventario!$B$5:$B$200,MATCH(B286,Inventario!$A$5:$A$200,0)),"SKU no existe"))</f>
        <v/>
      </c>
      <c r="D286" s="28" t="n"/>
      <c r="E286" s="28" t="n"/>
      <c r="F286" s="28" t="n"/>
    </row>
    <row r="287" ht="15" customHeight="1" s="19">
      <c r="A287" s="35" t="n"/>
      <c r="B287" s="28" t="n"/>
      <c r="C287" s="32">
        <f>IF(B287="","",IFERROR(INDEX(Inventario!$B$5:$B$200,MATCH(B287,Inventario!$A$5:$A$200,0)),"SKU no existe"))</f>
        <v/>
      </c>
      <c r="D287" s="28" t="n"/>
      <c r="E287" s="28" t="n"/>
      <c r="F287" s="28" t="n"/>
    </row>
    <row r="288" ht="15" customHeight="1" s="19">
      <c r="A288" s="35" t="n"/>
      <c r="B288" s="28" t="n"/>
      <c r="C288" s="32">
        <f>IF(B288="","",IFERROR(INDEX(Inventario!$B$5:$B$200,MATCH(B288,Inventario!$A$5:$A$200,0)),"SKU no existe"))</f>
        <v/>
      </c>
      <c r="D288" s="28" t="n"/>
      <c r="E288" s="28" t="n"/>
      <c r="F288" s="28" t="n"/>
    </row>
    <row r="289" ht="15" customHeight="1" s="19">
      <c r="A289" s="35" t="n"/>
      <c r="B289" s="28" t="n"/>
      <c r="C289" s="32">
        <f>IF(B289="","",IFERROR(INDEX(Inventario!$B$5:$B$200,MATCH(B289,Inventario!$A$5:$A$200,0)),"SKU no existe"))</f>
        <v/>
      </c>
      <c r="D289" s="28" t="n"/>
      <c r="E289" s="28" t="n"/>
      <c r="F289" s="28" t="n"/>
    </row>
    <row r="290" ht="15" customHeight="1" s="19">
      <c r="A290" s="35" t="n"/>
      <c r="B290" s="28" t="n"/>
      <c r="C290" s="32">
        <f>IF(B290="","",IFERROR(INDEX(Inventario!$B$5:$B$200,MATCH(B290,Inventario!$A$5:$A$200,0)),"SKU no existe"))</f>
        <v/>
      </c>
      <c r="D290" s="28" t="n"/>
      <c r="E290" s="28" t="n"/>
      <c r="F290" s="28" t="n"/>
    </row>
    <row r="291" ht="15" customHeight="1" s="19">
      <c r="A291" s="35" t="n"/>
      <c r="B291" s="28" t="n"/>
      <c r="C291" s="32">
        <f>IF(B291="","",IFERROR(INDEX(Inventario!$B$5:$B$200,MATCH(B291,Inventario!$A$5:$A$200,0)),"SKU no existe"))</f>
        <v/>
      </c>
      <c r="D291" s="28" t="n"/>
      <c r="E291" s="28" t="n"/>
      <c r="F291" s="28" t="n"/>
    </row>
    <row r="292" ht="15" customHeight="1" s="19">
      <c r="A292" s="35" t="n"/>
      <c r="B292" s="28" t="n"/>
      <c r="C292" s="32">
        <f>IF(B292="","",IFERROR(INDEX(Inventario!$B$5:$B$200,MATCH(B292,Inventario!$A$5:$A$200,0)),"SKU no existe"))</f>
        <v/>
      </c>
      <c r="D292" s="28" t="n"/>
      <c r="E292" s="28" t="n"/>
      <c r="F292" s="28" t="n"/>
    </row>
    <row r="293" ht="15" customHeight="1" s="19">
      <c r="A293" s="35" t="n"/>
      <c r="B293" s="28" t="n"/>
      <c r="C293" s="32">
        <f>IF(B293="","",IFERROR(INDEX(Inventario!$B$5:$B$200,MATCH(B293,Inventario!$A$5:$A$200,0)),"SKU no existe"))</f>
        <v/>
      </c>
      <c r="D293" s="28" t="n"/>
      <c r="E293" s="28" t="n"/>
      <c r="F293" s="28" t="n"/>
    </row>
    <row r="294" ht="15" customHeight="1" s="19">
      <c r="A294" s="35" t="n"/>
      <c r="B294" s="28" t="n"/>
      <c r="C294" s="32">
        <f>IF(B294="","",IFERROR(INDEX(Inventario!$B$5:$B$200,MATCH(B294,Inventario!$A$5:$A$200,0)),"SKU no existe"))</f>
        <v/>
      </c>
      <c r="D294" s="28" t="n"/>
      <c r="E294" s="28" t="n"/>
      <c r="F294" s="28" t="n"/>
    </row>
    <row r="295" ht="15" customHeight="1" s="19">
      <c r="A295" s="35" t="n"/>
      <c r="B295" s="28" t="n"/>
      <c r="C295" s="32">
        <f>IF(B295="","",IFERROR(INDEX(Inventario!$B$5:$B$200,MATCH(B295,Inventario!$A$5:$A$200,0)),"SKU no existe"))</f>
        <v/>
      </c>
      <c r="D295" s="28" t="n"/>
      <c r="E295" s="28" t="n"/>
      <c r="F295" s="28" t="n"/>
    </row>
    <row r="296" ht="15" customHeight="1" s="19">
      <c r="A296" s="35" t="n"/>
      <c r="B296" s="28" t="n"/>
      <c r="C296" s="32">
        <f>IF(B296="","",IFERROR(INDEX(Inventario!$B$5:$B$200,MATCH(B296,Inventario!$A$5:$A$200,0)),"SKU no existe"))</f>
        <v/>
      </c>
      <c r="D296" s="28" t="n"/>
      <c r="E296" s="28" t="n"/>
      <c r="F296" s="28" t="n"/>
    </row>
    <row r="297" ht="15" customHeight="1" s="19">
      <c r="A297" s="35" t="n"/>
      <c r="B297" s="28" t="n"/>
      <c r="C297" s="32">
        <f>IF(B297="","",IFERROR(INDEX(Inventario!$B$5:$B$200,MATCH(B297,Inventario!$A$5:$A$200,0)),"SKU no existe"))</f>
        <v/>
      </c>
      <c r="D297" s="28" t="n"/>
      <c r="E297" s="28" t="n"/>
      <c r="F297" s="28" t="n"/>
    </row>
    <row r="298" ht="15" customHeight="1" s="19">
      <c r="A298" s="35" t="n"/>
      <c r="B298" s="28" t="n"/>
      <c r="C298" s="32">
        <f>IF(B298="","",IFERROR(INDEX(Inventario!$B$5:$B$200,MATCH(B298,Inventario!$A$5:$A$200,0)),"SKU no existe"))</f>
        <v/>
      </c>
      <c r="D298" s="28" t="n"/>
      <c r="E298" s="28" t="n"/>
      <c r="F298" s="28" t="n"/>
    </row>
    <row r="299" ht="15" customHeight="1" s="19">
      <c r="A299" s="35" t="n"/>
      <c r="B299" s="28" t="n"/>
      <c r="C299" s="32">
        <f>IF(B299="","",IFERROR(INDEX(Inventario!$B$5:$B$200,MATCH(B299,Inventario!$A$5:$A$200,0)),"SKU no existe"))</f>
        <v/>
      </c>
      <c r="D299" s="28" t="n"/>
      <c r="E299" s="28" t="n"/>
      <c r="F299" s="28" t="n"/>
    </row>
    <row r="300" ht="15" customHeight="1" s="19">
      <c r="A300" s="35" t="n"/>
      <c r="B300" s="28" t="n"/>
      <c r="C300" s="32">
        <f>IF(B300="","",IFERROR(INDEX(Inventario!$B$5:$B$200,MATCH(B300,Inventario!$A$5:$A$200,0)),"SKU no existe"))</f>
        <v/>
      </c>
      <c r="D300" s="28" t="n"/>
      <c r="E300" s="28" t="n"/>
      <c r="F300" s="28" t="n"/>
    </row>
    <row r="301" ht="15" customHeight="1" s="19">
      <c r="A301" s="35" t="n"/>
      <c r="B301" s="28" t="n"/>
      <c r="C301" s="32">
        <f>IF(B301="","",IFERROR(INDEX(Inventario!$B$5:$B$200,MATCH(B301,Inventario!$A$5:$A$200,0)),"SKU no existe"))</f>
        <v/>
      </c>
      <c r="D301" s="28" t="n"/>
      <c r="E301" s="28" t="n"/>
      <c r="F301" s="28" t="n"/>
    </row>
    <row r="302" ht="15" customHeight="1" s="19">
      <c r="A302" s="35" t="n"/>
      <c r="B302" s="28" t="n"/>
      <c r="C302" s="32">
        <f>IF(B302="","",IFERROR(INDEX(Inventario!$B$5:$B$200,MATCH(B302,Inventario!$A$5:$A$200,0)),"SKU no existe"))</f>
        <v/>
      </c>
      <c r="D302" s="28" t="n"/>
      <c r="E302" s="28" t="n"/>
      <c r="F302" s="28" t="n"/>
    </row>
    <row r="303" ht="15" customHeight="1" s="19">
      <c r="A303" s="35" t="n"/>
      <c r="B303" s="28" t="n"/>
      <c r="C303" s="32">
        <f>IF(B303="","",IFERROR(INDEX(Inventario!$B$5:$B$200,MATCH(B303,Inventario!$A$5:$A$200,0)),"SKU no existe"))</f>
        <v/>
      </c>
      <c r="D303" s="28" t="n"/>
      <c r="E303" s="28" t="n"/>
      <c r="F303" s="28" t="n"/>
    </row>
    <row r="304" ht="15" customHeight="1" s="19">
      <c r="A304" s="35" t="n"/>
      <c r="B304" s="28" t="n"/>
      <c r="C304" s="32">
        <f>IF(B304="","",IFERROR(INDEX(Inventario!$B$5:$B$200,MATCH(B304,Inventario!$A$5:$A$200,0)),"SKU no existe"))</f>
        <v/>
      </c>
      <c r="D304" s="28" t="n"/>
      <c r="E304" s="28" t="n"/>
      <c r="F304" s="28" t="n"/>
    </row>
    <row r="305" ht="15" customHeight="1" s="19">
      <c r="A305" s="35" t="n"/>
      <c r="B305" s="28" t="n"/>
      <c r="C305" s="32">
        <f>IF(B305="","",IFERROR(INDEX(Inventario!$B$5:$B$200,MATCH(B305,Inventario!$A$5:$A$200,0)),"SKU no existe"))</f>
        <v/>
      </c>
      <c r="D305" s="28" t="n"/>
      <c r="E305" s="28" t="n"/>
      <c r="F305" s="28" t="n"/>
    </row>
    <row r="306" ht="15" customHeight="1" s="19">
      <c r="A306" s="35" t="n"/>
      <c r="B306" s="28" t="n"/>
      <c r="C306" s="32">
        <f>IF(B306="","",IFERROR(INDEX(Inventario!$B$5:$B$200,MATCH(B306,Inventario!$A$5:$A$200,0)),"SKU no existe"))</f>
        <v/>
      </c>
      <c r="D306" s="28" t="n"/>
      <c r="E306" s="28" t="n"/>
      <c r="F306" s="28" t="n"/>
    </row>
    <row r="307" ht="15" customHeight="1" s="19">
      <c r="A307" s="35" t="n"/>
      <c r="B307" s="28" t="n"/>
      <c r="C307" s="32">
        <f>IF(B307="","",IFERROR(INDEX(Inventario!$B$5:$B$200,MATCH(B307,Inventario!$A$5:$A$200,0)),"SKU no existe"))</f>
        <v/>
      </c>
      <c r="D307" s="28" t="n"/>
      <c r="E307" s="28" t="n"/>
      <c r="F307" s="28" t="n"/>
    </row>
    <row r="308" ht="15" customHeight="1" s="19">
      <c r="A308" s="35" t="n"/>
      <c r="B308" s="28" t="n"/>
      <c r="C308" s="32">
        <f>IF(B308="","",IFERROR(INDEX(Inventario!$B$5:$B$200,MATCH(B308,Inventario!$A$5:$A$200,0)),"SKU no existe"))</f>
        <v/>
      </c>
      <c r="D308" s="28" t="n"/>
      <c r="E308" s="28" t="n"/>
      <c r="F308" s="28" t="n"/>
    </row>
    <row r="309" ht="15" customHeight="1" s="19">
      <c r="A309" s="35" t="n"/>
      <c r="B309" s="28" t="n"/>
      <c r="C309" s="32">
        <f>IF(B309="","",IFERROR(INDEX(Inventario!$B$5:$B$200,MATCH(B309,Inventario!$A$5:$A$200,0)),"SKU no existe"))</f>
        <v/>
      </c>
      <c r="D309" s="28" t="n"/>
      <c r="E309" s="28" t="n"/>
      <c r="F309" s="28" t="n"/>
    </row>
    <row r="310" ht="15" customHeight="1" s="19">
      <c r="A310" s="35" t="n"/>
      <c r="B310" s="28" t="n"/>
      <c r="C310" s="32">
        <f>IF(B310="","",IFERROR(INDEX(Inventario!$B$5:$B$200,MATCH(B310,Inventario!$A$5:$A$200,0)),"SKU no existe"))</f>
        <v/>
      </c>
      <c r="D310" s="28" t="n"/>
      <c r="E310" s="28" t="n"/>
      <c r="F310" s="28" t="n"/>
    </row>
    <row r="311" ht="15" customHeight="1" s="19">
      <c r="A311" s="35" t="n"/>
      <c r="B311" s="28" t="n"/>
      <c r="C311" s="32">
        <f>IF(B311="","",IFERROR(INDEX(Inventario!$B$5:$B$200,MATCH(B311,Inventario!$A$5:$A$200,0)),"SKU no existe"))</f>
        <v/>
      </c>
      <c r="D311" s="28" t="n"/>
      <c r="E311" s="28" t="n"/>
      <c r="F311" s="28" t="n"/>
    </row>
    <row r="312" ht="15" customHeight="1" s="19">
      <c r="A312" s="35" t="n"/>
      <c r="B312" s="28" t="n"/>
      <c r="C312" s="32">
        <f>IF(B312="","",IFERROR(INDEX(Inventario!$B$5:$B$200,MATCH(B312,Inventario!$A$5:$A$200,0)),"SKU no existe"))</f>
        <v/>
      </c>
      <c r="D312" s="28" t="n"/>
      <c r="E312" s="28" t="n"/>
      <c r="F312" s="28" t="n"/>
    </row>
    <row r="313" ht="15" customHeight="1" s="19">
      <c r="A313" s="35" t="n"/>
      <c r="B313" s="28" t="n"/>
      <c r="C313" s="32">
        <f>IF(B313="","",IFERROR(INDEX(Inventario!$B$5:$B$200,MATCH(B313,Inventario!$A$5:$A$200,0)),"SKU no existe"))</f>
        <v/>
      </c>
      <c r="D313" s="28" t="n"/>
      <c r="E313" s="28" t="n"/>
      <c r="F313" s="28" t="n"/>
    </row>
    <row r="314" ht="15" customHeight="1" s="19">
      <c r="A314" s="35" t="n"/>
      <c r="B314" s="28" t="n"/>
      <c r="C314" s="32">
        <f>IF(B314="","",IFERROR(INDEX(Inventario!$B$5:$B$200,MATCH(B314,Inventario!$A$5:$A$200,0)),"SKU no existe"))</f>
        <v/>
      </c>
      <c r="D314" s="28" t="n"/>
      <c r="E314" s="28" t="n"/>
      <c r="F314" s="28" t="n"/>
    </row>
    <row r="315" ht="15" customHeight="1" s="19">
      <c r="A315" s="35" t="n"/>
      <c r="B315" s="28" t="n"/>
      <c r="C315" s="32">
        <f>IF(B315="","",IFERROR(INDEX(Inventario!$B$5:$B$200,MATCH(B315,Inventario!$A$5:$A$200,0)),"SKU no existe"))</f>
        <v/>
      </c>
      <c r="D315" s="28" t="n"/>
      <c r="E315" s="28" t="n"/>
      <c r="F315" s="28" t="n"/>
    </row>
    <row r="316" ht="15" customHeight="1" s="19">
      <c r="A316" s="35" t="n"/>
      <c r="B316" s="28" t="n"/>
      <c r="C316" s="32">
        <f>IF(B316="","",IFERROR(INDEX(Inventario!$B$5:$B$200,MATCH(B316,Inventario!$A$5:$A$200,0)),"SKU no existe"))</f>
        <v/>
      </c>
      <c r="D316" s="28" t="n"/>
      <c r="E316" s="28" t="n"/>
      <c r="F316" s="28" t="n"/>
    </row>
    <row r="317" ht="15" customHeight="1" s="19">
      <c r="A317" s="35" t="n"/>
      <c r="B317" s="28" t="n"/>
      <c r="C317" s="32">
        <f>IF(B317="","",IFERROR(INDEX(Inventario!$B$5:$B$200,MATCH(B317,Inventario!$A$5:$A$200,0)),"SKU no existe"))</f>
        <v/>
      </c>
      <c r="D317" s="28" t="n"/>
      <c r="E317" s="28" t="n"/>
      <c r="F317" s="28" t="n"/>
    </row>
    <row r="318" ht="15" customHeight="1" s="19">
      <c r="A318" s="35" t="n"/>
      <c r="B318" s="28" t="n"/>
      <c r="C318" s="32">
        <f>IF(B318="","",IFERROR(INDEX(Inventario!$B$5:$B$200,MATCH(B318,Inventario!$A$5:$A$200,0)),"SKU no existe"))</f>
        <v/>
      </c>
      <c r="D318" s="28" t="n"/>
      <c r="E318" s="28" t="n"/>
      <c r="F318" s="28" t="n"/>
    </row>
    <row r="319" ht="15" customHeight="1" s="19">
      <c r="A319" s="35" t="n"/>
      <c r="B319" s="28" t="n"/>
      <c r="C319" s="32">
        <f>IF(B319="","",IFERROR(INDEX(Inventario!$B$5:$B$200,MATCH(B319,Inventario!$A$5:$A$200,0)),"SKU no existe"))</f>
        <v/>
      </c>
      <c r="D319" s="28" t="n"/>
      <c r="E319" s="28" t="n"/>
      <c r="F319" s="28" t="n"/>
    </row>
    <row r="320" ht="15" customHeight="1" s="19">
      <c r="A320" s="35" t="n"/>
      <c r="B320" s="28" t="n"/>
      <c r="C320" s="32">
        <f>IF(B320="","",IFERROR(INDEX(Inventario!$B$5:$B$200,MATCH(B320,Inventario!$A$5:$A$200,0)),"SKU no existe"))</f>
        <v/>
      </c>
      <c r="D320" s="28" t="n"/>
      <c r="E320" s="28" t="n"/>
      <c r="F320" s="28" t="n"/>
    </row>
    <row r="321" ht="15" customHeight="1" s="19">
      <c r="A321" s="35" t="n"/>
      <c r="B321" s="28" t="n"/>
      <c r="C321" s="32">
        <f>IF(B321="","",IFERROR(INDEX(Inventario!$B$5:$B$200,MATCH(B321,Inventario!$A$5:$A$200,0)),"SKU no existe"))</f>
        <v/>
      </c>
      <c r="D321" s="28" t="n"/>
      <c r="E321" s="28" t="n"/>
      <c r="F321" s="28" t="n"/>
    </row>
    <row r="322" ht="15" customHeight="1" s="19">
      <c r="A322" s="35" t="n"/>
      <c r="B322" s="28" t="n"/>
      <c r="C322" s="32">
        <f>IF(B322="","",IFERROR(INDEX(Inventario!$B$5:$B$200,MATCH(B322,Inventario!$A$5:$A$200,0)),"SKU no existe"))</f>
        <v/>
      </c>
      <c r="D322" s="28" t="n"/>
      <c r="E322" s="28" t="n"/>
      <c r="F322" s="28" t="n"/>
    </row>
    <row r="323" ht="15" customHeight="1" s="19">
      <c r="A323" s="35" t="n"/>
      <c r="B323" s="28" t="n"/>
      <c r="C323" s="32">
        <f>IF(B323="","",IFERROR(INDEX(Inventario!$B$5:$B$200,MATCH(B323,Inventario!$A$5:$A$200,0)),"SKU no existe"))</f>
        <v/>
      </c>
      <c r="D323" s="28" t="n"/>
      <c r="E323" s="28" t="n"/>
      <c r="F323" s="28" t="n"/>
    </row>
    <row r="324" ht="15" customHeight="1" s="19">
      <c r="A324" s="35" t="n"/>
      <c r="B324" s="28" t="n"/>
      <c r="C324" s="32">
        <f>IF(B324="","",IFERROR(INDEX(Inventario!$B$5:$B$200,MATCH(B324,Inventario!$A$5:$A$200,0)),"SKU no existe"))</f>
        <v/>
      </c>
      <c r="D324" s="28" t="n"/>
      <c r="E324" s="28" t="n"/>
      <c r="F324" s="28" t="n"/>
    </row>
    <row r="325" ht="15" customHeight="1" s="19">
      <c r="A325" s="35" t="n"/>
      <c r="B325" s="28" t="n"/>
      <c r="C325" s="32">
        <f>IF(B325="","",IFERROR(INDEX(Inventario!$B$5:$B$200,MATCH(B325,Inventario!$A$5:$A$200,0)),"SKU no existe"))</f>
        <v/>
      </c>
      <c r="D325" s="28" t="n"/>
      <c r="E325" s="28" t="n"/>
      <c r="F325" s="28" t="n"/>
    </row>
    <row r="326" ht="15" customHeight="1" s="19">
      <c r="A326" s="35" t="n"/>
      <c r="B326" s="28" t="n"/>
      <c r="C326" s="32">
        <f>IF(B326="","",IFERROR(INDEX(Inventario!$B$5:$B$200,MATCH(B326,Inventario!$A$5:$A$200,0)),"SKU no existe"))</f>
        <v/>
      </c>
      <c r="D326" s="28" t="n"/>
      <c r="E326" s="28" t="n"/>
      <c r="F326" s="28" t="n"/>
    </row>
    <row r="327" ht="15" customHeight="1" s="19">
      <c r="A327" s="35" t="n"/>
      <c r="B327" s="28" t="n"/>
      <c r="C327" s="32">
        <f>IF(B327="","",IFERROR(INDEX(Inventario!$B$5:$B$200,MATCH(B327,Inventario!$A$5:$A$200,0)),"SKU no existe"))</f>
        <v/>
      </c>
      <c r="D327" s="28" t="n"/>
      <c r="E327" s="28" t="n"/>
      <c r="F327" s="28" t="n"/>
    </row>
    <row r="328" ht="15" customHeight="1" s="19">
      <c r="A328" s="35" t="n"/>
      <c r="B328" s="28" t="n"/>
      <c r="C328" s="32">
        <f>IF(B328="","",IFERROR(INDEX(Inventario!$B$5:$B$200,MATCH(B328,Inventario!$A$5:$A$200,0)),"SKU no existe"))</f>
        <v/>
      </c>
      <c r="D328" s="28" t="n"/>
      <c r="E328" s="28" t="n"/>
      <c r="F328" s="28" t="n"/>
    </row>
    <row r="329" ht="15" customHeight="1" s="19">
      <c r="A329" s="35" t="n"/>
      <c r="B329" s="28" t="n"/>
      <c r="C329" s="32">
        <f>IF(B329="","",IFERROR(INDEX(Inventario!$B$5:$B$200,MATCH(B329,Inventario!$A$5:$A$200,0)),"SKU no existe"))</f>
        <v/>
      </c>
      <c r="D329" s="28" t="n"/>
      <c r="E329" s="28" t="n"/>
      <c r="F329" s="28" t="n"/>
    </row>
    <row r="330" ht="15" customHeight="1" s="19">
      <c r="A330" s="35" t="n"/>
      <c r="B330" s="28" t="n"/>
      <c r="C330" s="32">
        <f>IF(B330="","",IFERROR(INDEX(Inventario!$B$5:$B$200,MATCH(B330,Inventario!$A$5:$A$200,0)),"SKU no existe"))</f>
        <v/>
      </c>
      <c r="D330" s="28" t="n"/>
      <c r="E330" s="28" t="n"/>
      <c r="F330" s="28" t="n"/>
    </row>
    <row r="331" ht="15" customHeight="1" s="19">
      <c r="A331" s="35" t="n"/>
      <c r="B331" s="28" t="n"/>
      <c r="C331" s="32">
        <f>IF(B331="","",IFERROR(INDEX(Inventario!$B$5:$B$200,MATCH(B331,Inventario!$A$5:$A$200,0)),"SKU no existe"))</f>
        <v/>
      </c>
      <c r="D331" s="28" t="n"/>
      <c r="E331" s="28" t="n"/>
      <c r="F331" s="28" t="n"/>
    </row>
    <row r="332" ht="15" customHeight="1" s="19">
      <c r="A332" s="35" t="n"/>
      <c r="B332" s="28" t="n"/>
      <c r="C332" s="32">
        <f>IF(B332="","",IFERROR(INDEX(Inventario!$B$5:$B$200,MATCH(B332,Inventario!$A$5:$A$200,0)),"SKU no existe"))</f>
        <v/>
      </c>
      <c r="D332" s="28" t="n"/>
      <c r="E332" s="28" t="n"/>
      <c r="F332" s="28" t="n"/>
    </row>
    <row r="333" ht="15" customHeight="1" s="19">
      <c r="A333" s="35" t="n"/>
      <c r="B333" s="28" t="n"/>
      <c r="C333" s="32">
        <f>IF(B333="","",IFERROR(INDEX(Inventario!$B$5:$B$200,MATCH(B333,Inventario!$A$5:$A$200,0)),"SKU no existe"))</f>
        <v/>
      </c>
      <c r="D333" s="28" t="n"/>
      <c r="E333" s="28" t="n"/>
      <c r="F333" s="28" t="n"/>
    </row>
    <row r="334" ht="15" customHeight="1" s="19">
      <c r="A334" s="35" t="n"/>
      <c r="B334" s="28" t="n"/>
      <c r="C334" s="32">
        <f>IF(B334="","",IFERROR(INDEX(Inventario!$B$5:$B$200,MATCH(B334,Inventario!$A$5:$A$200,0)),"SKU no existe"))</f>
        <v/>
      </c>
      <c r="D334" s="28" t="n"/>
      <c r="E334" s="28" t="n"/>
      <c r="F334" s="28" t="n"/>
    </row>
    <row r="335" ht="15" customHeight="1" s="19">
      <c r="A335" s="35" t="n"/>
      <c r="B335" s="28" t="n"/>
      <c r="C335" s="32">
        <f>IF(B335="","",IFERROR(INDEX(Inventario!$B$5:$B$200,MATCH(B335,Inventario!$A$5:$A$200,0)),"SKU no existe"))</f>
        <v/>
      </c>
      <c r="D335" s="28" t="n"/>
      <c r="E335" s="28" t="n"/>
      <c r="F335" s="28" t="n"/>
    </row>
    <row r="336" ht="15" customHeight="1" s="19">
      <c r="A336" s="35" t="n"/>
      <c r="B336" s="28" t="n"/>
      <c r="C336" s="32">
        <f>IF(B336="","",IFERROR(INDEX(Inventario!$B$5:$B$200,MATCH(B336,Inventario!$A$5:$A$200,0)),"SKU no existe"))</f>
        <v/>
      </c>
      <c r="D336" s="28" t="n"/>
      <c r="E336" s="28" t="n"/>
      <c r="F336" s="28" t="n"/>
    </row>
    <row r="337" ht="15" customHeight="1" s="19">
      <c r="A337" s="35" t="n"/>
      <c r="B337" s="28" t="n"/>
      <c r="C337" s="32">
        <f>IF(B337="","",IFERROR(INDEX(Inventario!$B$5:$B$200,MATCH(B337,Inventario!$A$5:$A$200,0)),"SKU no existe"))</f>
        <v/>
      </c>
      <c r="D337" s="28" t="n"/>
      <c r="E337" s="28" t="n"/>
      <c r="F337" s="28" t="n"/>
    </row>
    <row r="338" ht="15" customHeight="1" s="19">
      <c r="A338" s="35" t="n"/>
      <c r="B338" s="28" t="n"/>
      <c r="C338" s="32">
        <f>IF(B338="","",IFERROR(INDEX(Inventario!$B$5:$B$200,MATCH(B338,Inventario!$A$5:$A$200,0)),"SKU no existe"))</f>
        <v/>
      </c>
      <c r="D338" s="28" t="n"/>
      <c r="E338" s="28" t="n"/>
      <c r="F338" s="28" t="n"/>
    </row>
    <row r="339" ht="15" customHeight="1" s="19">
      <c r="A339" s="35" t="n"/>
      <c r="B339" s="28" t="n"/>
      <c r="C339" s="32">
        <f>IF(B339="","",IFERROR(INDEX(Inventario!$B$5:$B$200,MATCH(B339,Inventario!$A$5:$A$200,0)),"SKU no existe"))</f>
        <v/>
      </c>
      <c r="D339" s="28" t="n"/>
      <c r="E339" s="28" t="n"/>
      <c r="F339" s="28" t="n"/>
    </row>
    <row r="340" ht="15" customHeight="1" s="19">
      <c r="A340" s="35" t="n"/>
      <c r="B340" s="28" t="n"/>
      <c r="C340" s="32">
        <f>IF(B340="","",IFERROR(INDEX(Inventario!$B$5:$B$200,MATCH(B340,Inventario!$A$5:$A$200,0)),"SKU no existe"))</f>
        <v/>
      </c>
      <c r="D340" s="28" t="n"/>
      <c r="E340" s="28" t="n"/>
      <c r="F340" s="28" t="n"/>
    </row>
    <row r="341" ht="15" customHeight="1" s="19">
      <c r="A341" s="35" t="n"/>
      <c r="B341" s="28" t="n"/>
      <c r="C341" s="32">
        <f>IF(B341="","",IFERROR(INDEX(Inventario!$B$5:$B$200,MATCH(B341,Inventario!$A$5:$A$200,0)),"SKU no existe"))</f>
        <v/>
      </c>
      <c r="D341" s="28" t="n"/>
      <c r="E341" s="28" t="n"/>
      <c r="F341" s="28" t="n"/>
    </row>
    <row r="342" ht="15" customHeight="1" s="19">
      <c r="A342" s="35" t="n"/>
      <c r="B342" s="28" t="n"/>
      <c r="C342" s="32">
        <f>IF(B342="","",IFERROR(INDEX(Inventario!$B$5:$B$200,MATCH(B342,Inventario!$A$5:$A$200,0)),"SKU no existe"))</f>
        <v/>
      </c>
      <c r="D342" s="28" t="n"/>
      <c r="E342" s="28" t="n"/>
      <c r="F342" s="28" t="n"/>
    </row>
    <row r="343" ht="15" customHeight="1" s="19">
      <c r="A343" s="35" t="n"/>
      <c r="B343" s="28" t="n"/>
      <c r="C343" s="32">
        <f>IF(B343="","",IFERROR(INDEX(Inventario!$B$5:$B$200,MATCH(B343,Inventario!$A$5:$A$200,0)),"SKU no existe"))</f>
        <v/>
      </c>
      <c r="D343" s="28" t="n"/>
      <c r="E343" s="28" t="n"/>
      <c r="F343" s="28" t="n"/>
    </row>
    <row r="344" ht="15" customHeight="1" s="19">
      <c r="A344" s="35" t="n"/>
      <c r="B344" s="28" t="n"/>
      <c r="C344" s="32">
        <f>IF(B344="","",IFERROR(INDEX(Inventario!$B$5:$B$200,MATCH(B344,Inventario!$A$5:$A$200,0)),"SKU no existe"))</f>
        <v/>
      </c>
      <c r="D344" s="28" t="n"/>
      <c r="E344" s="28" t="n"/>
      <c r="F344" s="28" t="n"/>
    </row>
    <row r="345" ht="15" customHeight="1" s="19">
      <c r="A345" s="35" t="n"/>
      <c r="B345" s="28" t="n"/>
      <c r="C345" s="32">
        <f>IF(B345="","",IFERROR(INDEX(Inventario!$B$5:$B$200,MATCH(B345,Inventario!$A$5:$A$200,0)),"SKU no existe"))</f>
        <v/>
      </c>
      <c r="D345" s="28" t="n"/>
      <c r="E345" s="28" t="n"/>
      <c r="F345" s="28" t="n"/>
    </row>
    <row r="346" ht="15" customHeight="1" s="19">
      <c r="A346" s="35" t="n"/>
      <c r="B346" s="28" t="n"/>
      <c r="C346" s="32">
        <f>IF(B346="","",IFERROR(INDEX(Inventario!$B$5:$B$200,MATCH(B346,Inventario!$A$5:$A$200,0)),"SKU no existe"))</f>
        <v/>
      </c>
      <c r="D346" s="28" t="n"/>
      <c r="E346" s="28" t="n"/>
      <c r="F346" s="28" t="n"/>
    </row>
    <row r="347" ht="15" customHeight="1" s="19">
      <c r="A347" s="35" t="n"/>
      <c r="B347" s="28" t="n"/>
      <c r="C347" s="32">
        <f>IF(B347="","",IFERROR(INDEX(Inventario!$B$5:$B$200,MATCH(B347,Inventario!$A$5:$A$200,0)),"SKU no existe"))</f>
        <v/>
      </c>
      <c r="D347" s="28" t="n"/>
      <c r="E347" s="28" t="n"/>
      <c r="F347" s="28" t="n"/>
    </row>
    <row r="348" ht="15" customHeight="1" s="19">
      <c r="A348" s="35" t="n"/>
      <c r="B348" s="28" t="n"/>
      <c r="C348" s="32">
        <f>IF(B348="","",IFERROR(INDEX(Inventario!$B$5:$B$200,MATCH(B348,Inventario!$A$5:$A$200,0)),"SKU no existe"))</f>
        <v/>
      </c>
      <c r="D348" s="28" t="n"/>
      <c r="E348" s="28" t="n"/>
      <c r="F348" s="28" t="n"/>
    </row>
    <row r="349" ht="15" customHeight="1" s="19">
      <c r="A349" s="35" t="n"/>
      <c r="B349" s="28" t="n"/>
      <c r="C349" s="32">
        <f>IF(B349="","",IFERROR(INDEX(Inventario!$B$5:$B$200,MATCH(B349,Inventario!$A$5:$A$200,0)),"SKU no existe"))</f>
        <v/>
      </c>
      <c r="D349" s="28" t="n"/>
      <c r="E349" s="28" t="n"/>
      <c r="F349" s="28" t="n"/>
    </row>
    <row r="350" ht="15" customHeight="1" s="19">
      <c r="A350" s="35" t="n"/>
      <c r="B350" s="28" t="n"/>
      <c r="C350" s="32">
        <f>IF(B350="","",IFERROR(INDEX(Inventario!$B$5:$B$200,MATCH(B350,Inventario!$A$5:$A$200,0)),"SKU no existe"))</f>
        <v/>
      </c>
      <c r="D350" s="28" t="n"/>
      <c r="E350" s="28" t="n"/>
      <c r="F350" s="28" t="n"/>
    </row>
    <row r="351" ht="15" customHeight="1" s="19">
      <c r="A351" s="35" t="n"/>
      <c r="B351" s="28" t="n"/>
      <c r="C351" s="32">
        <f>IF(B351="","",IFERROR(INDEX(Inventario!$B$5:$B$200,MATCH(B351,Inventario!$A$5:$A$200,0)),"SKU no existe"))</f>
        <v/>
      </c>
      <c r="D351" s="28" t="n"/>
      <c r="E351" s="28" t="n"/>
      <c r="F351" s="28" t="n"/>
    </row>
    <row r="352" ht="15" customHeight="1" s="19">
      <c r="A352" s="35" t="n"/>
      <c r="B352" s="28" t="n"/>
      <c r="C352" s="32">
        <f>IF(B352="","",IFERROR(INDEX(Inventario!$B$5:$B$200,MATCH(B352,Inventario!$A$5:$A$200,0)),"SKU no existe"))</f>
        <v/>
      </c>
      <c r="D352" s="28" t="n"/>
      <c r="E352" s="28" t="n"/>
      <c r="F352" s="28" t="n"/>
    </row>
    <row r="353" ht="15" customHeight="1" s="19">
      <c r="A353" s="35" t="n"/>
      <c r="B353" s="28" t="n"/>
      <c r="C353" s="32">
        <f>IF(B353="","",IFERROR(INDEX(Inventario!$B$5:$B$200,MATCH(B353,Inventario!$A$5:$A$200,0)),"SKU no existe"))</f>
        <v/>
      </c>
      <c r="D353" s="28" t="n"/>
      <c r="E353" s="28" t="n"/>
      <c r="F353" s="28" t="n"/>
    </row>
    <row r="354" ht="15" customHeight="1" s="19">
      <c r="A354" s="35" t="n"/>
      <c r="B354" s="28" t="n"/>
      <c r="C354" s="32">
        <f>IF(B354="","",IFERROR(INDEX(Inventario!$B$5:$B$200,MATCH(B354,Inventario!$A$5:$A$200,0)),"SKU no existe"))</f>
        <v/>
      </c>
      <c r="D354" s="28" t="n"/>
      <c r="E354" s="28" t="n"/>
      <c r="F354" s="28" t="n"/>
    </row>
    <row r="355" ht="15" customHeight="1" s="19">
      <c r="A355" s="35" t="n"/>
      <c r="B355" s="28" t="n"/>
      <c r="C355" s="32">
        <f>IF(B355="","",IFERROR(INDEX(Inventario!$B$5:$B$200,MATCH(B355,Inventario!$A$5:$A$200,0)),"SKU no existe"))</f>
        <v/>
      </c>
      <c r="D355" s="28" t="n"/>
      <c r="E355" s="28" t="n"/>
      <c r="F355" s="28" t="n"/>
    </row>
    <row r="356" ht="15" customHeight="1" s="19">
      <c r="A356" s="35" t="n"/>
      <c r="B356" s="28" t="n"/>
      <c r="C356" s="32">
        <f>IF(B356="","",IFERROR(INDEX(Inventario!$B$5:$B$200,MATCH(B356,Inventario!$A$5:$A$200,0)),"SKU no existe"))</f>
        <v/>
      </c>
      <c r="D356" s="28" t="n"/>
      <c r="E356" s="28" t="n"/>
      <c r="F356" s="28" t="n"/>
    </row>
    <row r="357" ht="15" customHeight="1" s="19">
      <c r="A357" s="35" t="n"/>
      <c r="B357" s="28" t="n"/>
      <c r="C357" s="32">
        <f>IF(B357="","",IFERROR(INDEX(Inventario!$B$5:$B$200,MATCH(B357,Inventario!$A$5:$A$200,0)),"SKU no existe"))</f>
        <v/>
      </c>
      <c r="D357" s="28" t="n"/>
      <c r="E357" s="28" t="n"/>
      <c r="F357" s="28" t="n"/>
    </row>
    <row r="358" ht="15" customHeight="1" s="19">
      <c r="A358" s="35" t="n"/>
      <c r="B358" s="28" t="n"/>
      <c r="C358" s="32">
        <f>IF(B358="","",IFERROR(INDEX(Inventario!$B$5:$B$200,MATCH(B358,Inventario!$A$5:$A$200,0)),"SKU no existe"))</f>
        <v/>
      </c>
      <c r="D358" s="28" t="n"/>
      <c r="E358" s="28" t="n"/>
      <c r="F358" s="28" t="n"/>
    </row>
    <row r="359" ht="15" customHeight="1" s="19">
      <c r="A359" s="35" t="n"/>
      <c r="B359" s="28" t="n"/>
      <c r="C359" s="32">
        <f>IF(B359="","",IFERROR(INDEX(Inventario!$B$5:$B$200,MATCH(B359,Inventario!$A$5:$A$200,0)),"SKU no existe"))</f>
        <v/>
      </c>
      <c r="D359" s="28" t="n"/>
      <c r="E359" s="28" t="n"/>
      <c r="F359" s="28" t="n"/>
    </row>
    <row r="360" ht="15" customHeight="1" s="19">
      <c r="A360" s="35" t="n"/>
      <c r="B360" s="28" t="n"/>
      <c r="C360" s="32">
        <f>IF(B360="","",IFERROR(INDEX(Inventario!$B$5:$B$200,MATCH(B360,Inventario!$A$5:$A$200,0)),"SKU no existe"))</f>
        <v/>
      </c>
      <c r="D360" s="28" t="n"/>
      <c r="E360" s="28" t="n"/>
      <c r="F360" s="28" t="n"/>
    </row>
    <row r="361" ht="15" customHeight="1" s="19">
      <c r="A361" s="35" t="n"/>
      <c r="B361" s="28" t="n"/>
      <c r="C361" s="32">
        <f>IF(B361="","",IFERROR(INDEX(Inventario!$B$5:$B$200,MATCH(B361,Inventario!$A$5:$A$200,0)),"SKU no existe"))</f>
        <v/>
      </c>
      <c r="D361" s="28" t="n"/>
      <c r="E361" s="28" t="n"/>
      <c r="F361" s="28" t="n"/>
    </row>
    <row r="362" ht="15" customHeight="1" s="19">
      <c r="A362" s="35" t="n"/>
      <c r="B362" s="28" t="n"/>
      <c r="C362" s="32">
        <f>IF(B362="","",IFERROR(INDEX(Inventario!$B$5:$B$200,MATCH(B362,Inventario!$A$5:$A$200,0)),"SKU no existe"))</f>
        <v/>
      </c>
      <c r="D362" s="28" t="n"/>
      <c r="E362" s="28" t="n"/>
      <c r="F362" s="28" t="n"/>
    </row>
    <row r="363" ht="15" customHeight="1" s="19">
      <c r="A363" s="35" t="n"/>
      <c r="B363" s="28" t="n"/>
      <c r="C363" s="32">
        <f>IF(B363="","",IFERROR(INDEX(Inventario!$B$5:$B$200,MATCH(B363,Inventario!$A$5:$A$200,0)),"SKU no existe"))</f>
        <v/>
      </c>
      <c r="D363" s="28" t="n"/>
      <c r="E363" s="28" t="n"/>
      <c r="F363" s="28" t="n"/>
    </row>
    <row r="364" ht="15" customHeight="1" s="19">
      <c r="A364" s="35" t="n"/>
      <c r="B364" s="28" t="n"/>
      <c r="C364" s="32">
        <f>IF(B364="","",IFERROR(INDEX(Inventario!$B$5:$B$200,MATCH(B364,Inventario!$A$5:$A$200,0)),"SKU no existe"))</f>
        <v/>
      </c>
      <c r="D364" s="28" t="n"/>
      <c r="E364" s="28" t="n"/>
      <c r="F364" s="28" t="n"/>
    </row>
    <row r="365" ht="15" customHeight="1" s="19">
      <c r="A365" s="35" t="n"/>
      <c r="B365" s="28" t="n"/>
      <c r="C365" s="32">
        <f>IF(B365="","",IFERROR(INDEX(Inventario!$B$5:$B$200,MATCH(B365,Inventario!$A$5:$A$200,0)),"SKU no existe"))</f>
        <v/>
      </c>
      <c r="D365" s="28" t="n"/>
      <c r="E365" s="28" t="n"/>
      <c r="F365" s="28" t="n"/>
    </row>
    <row r="366" ht="15" customHeight="1" s="19">
      <c r="A366" s="35" t="n"/>
      <c r="B366" s="28" t="n"/>
      <c r="C366" s="32">
        <f>IF(B366="","",IFERROR(INDEX(Inventario!$B$5:$B$200,MATCH(B366,Inventario!$A$5:$A$200,0)),"SKU no existe"))</f>
        <v/>
      </c>
      <c r="D366" s="28" t="n"/>
      <c r="E366" s="28" t="n"/>
      <c r="F366" s="28" t="n"/>
    </row>
    <row r="367" ht="15" customHeight="1" s="19">
      <c r="A367" s="35" t="n"/>
      <c r="B367" s="28" t="n"/>
      <c r="C367" s="32">
        <f>IF(B367="","",IFERROR(INDEX(Inventario!$B$5:$B$200,MATCH(B367,Inventario!$A$5:$A$200,0)),"SKU no existe"))</f>
        <v/>
      </c>
      <c r="D367" s="28" t="n"/>
      <c r="E367" s="28" t="n"/>
      <c r="F367" s="28" t="n"/>
    </row>
    <row r="368" ht="15" customHeight="1" s="19">
      <c r="A368" s="35" t="n"/>
      <c r="B368" s="28" t="n"/>
      <c r="C368" s="32">
        <f>IF(B368="","",IFERROR(INDEX(Inventario!$B$5:$B$200,MATCH(B368,Inventario!$A$5:$A$200,0)),"SKU no existe"))</f>
        <v/>
      </c>
      <c r="D368" s="28" t="n"/>
      <c r="E368" s="28" t="n"/>
      <c r="F368" s="28" t="n"/>
    </row>
    <row r="369" ht="15" customHeight="1" s="19">
      <c r="A369" s="35" t="n"/>
      <c r="B369" s="28" t="n"/>
      <c r="C369" s="32">
        <f>IF(B369="","",IFERROR(INDEX(Inventario!$B$5:$B$200,MATCH(B369,Inventario!$A$5:$A$200,0)),"SKU no existe"))</f>
        <v/>
      </c>
      <c r="D369" s="28" t="n"/>
      <c r="E369" s="28" t="n"/>
      <c r="F369" s="28" t="n"/>
    </row>
    <row r="370" ht="15" customHeight="1" s="19">
      <c r="A370" s="35" t="n"/>
      <c r="B370" s="28" t="n"/>
      <c r="C370" s="32">
        <f>IF(B370="","",IFERROR(INDEX(Inventario!$B$5:$B$200,MATCH(B370,Inventario!$A$5:$A$200,0)),"SKU no existe"))</f>
        <v/>
      </c>
      <c r="D370" s="28" t="n"/>
      <c r="E370" s="28" t="n"/>
      <c r="F370" s="28" t="n"/>
    </row>
    <row r="371" ht="15" customHeight="1" s="19">
      <c r="A371" s="35" t="n"/>
      <c r="B371" s="28" t="n"/>
      <c r="C371" s="32">
        <f>IF(B371="","",IFERROR(INDEX(Inventario!$B$5:$B$200,MATCH(B371,Inventario!$A$5:$A$200,0)),"SKU no existe"))</f>
        <v/>
      </c>
      <c r="D371" s="28" t="n"/>
      <c r="E371" s="28" t="n"/>
      <c r="F371" s="28" t="n"/>
    </row>
    <row r="372" ht="15" customHeight="1" s="19">
      <c r="A372" s="35" t="n"/>
      <c r="B372" s="28" t="n"/>
      <c r="C372" s="32">
        <f>IF(B372="","",IFERROR(INDEX(Inventario!$B$5:$B$200,MATCH(B372,Inventario!$A$5:$A$200,0)),"SKU no existe"))</f>
        <v/>
      </c>
      <c r="D372" s="28" t="n"/>
      <c r="E372" s="28" t="n"/>
      <c r="F372" s="28" t="n"/>
    </row>
    <row r="373" ht="15" customHeight="1" s="19">
      <c r="A373" s="35" t="n"/>
      <c r="B373" s="28" t="n"/>
      <c r="C373" s="32">
        <f>IF(B373="","",IFERROR(INDEX(Inventario!$B$5:$B$200,MATCH(B373,Inventario!$A$5:$A$200,0)),"SKU no existe"))</f>
        <v/>
      </c>
      <c r="D373" s="28" t="n"/>
      <c r="E373" s="28" t="n"/>
      <c r="F373" s="28" t="n"/>
    </row>
    <row r="374" ht="15" customHeight="1" s="19">
      <c r="A374" s="35" t="n"/>
      <c r="B374" s="28" t="n"/>
      <c r="C374" s="32">
        <f>IF(B374="","",IFERROR(INDEX(Inventario!$B$5:$B$200,MATCH(B374,Inventario!$A$5:$A$200,0)),"SKU no existe"))</f>
        <v/>
      </c>
      <c r="D374" s="28" t="n"/>
      <c r="E374" s="28" t="n"/>
      <c r="F374" s="28" t="n"/>
    </row>
    <row r="375" ht="15" customHeight="1" s="19">
      <c r="A375" s="35" t="n"/>
      <c r="B375" s="28" t="n"/>
      <c r="C375" s="32">
        <f>IF(B375="","",IFERROR(INDEX(Inventario!$B$5:$B$200,MATCH(B375,Inventario!$A$5:$A$200,0)),"SKU no existe"))</f>
        <v/>
      </c>
      <c r="D375" s="28" t="n"/>
      <c r="E375" s="28" t="n"/>
      <c r="F375" s="28" t="n"/>
    </row>
    <row r="376" ht="15" customHeight="1" s="19">
      <c r="A376" s="35" t="n"/>
      <c r="B376" s="28" t="n"/>
      <c r="C376" s="32">
        <f>IF(B376="","",IFERROR(INDEX(Inventario!$B$5:$B$200,MATCH(B376,Inventario!$A$5:$A$200,0)),"SKU no existe"))</f>
        <v/>
      </c>
      <c r="D376" s="28" t="n"/>
      <c r="E376" s="28" t="n"/>
      <c r="F376" s="28" t="n"/>
    </row>
    <row r="377" ht="15" customHeight="1" s="19">
      <c r="A377" s="35" t="n"/>
      <c r="B377" s="28" t="n"/>
      <c r="C377" s="32">
        <f>IF(B377="","",IFERROR(INDEX(Inventario!$B$5:$B$200,MATCH(B377,Inventario!$A$5:$A$200,0)),"SKU no existe"))</f>
        <v/>
      </c>
      <c r="D377" s="28" t="n"/>
      <c r="E377" s="28" t="n"/>
      <c r="F377" s="28" t="n"/>
    </row>
    <row r="378" ht="15" customHeight="1" s="19">
      <c r="A378" s="35" t="n"/>
      <c r="B378" s="28" t="n"/>
      <c r="C378" s="32">
        <f>IF(B378="","",IFERROR(INDEX(Inventario!$B$5:$B$200,MATCH(B378,Inventario!$A$5:$A$200,0)),"SKU no existe"))</f>
        <v/>
      </c>
      <c r="D378" s="28" t="n"/>
      <c r="E378" s="28" t="n"/>
      <c r="F378" s="28" t="n"/>
    </row>
    <row r="379" ht="15" customHeight="1" s="19">
      <c r="A379" s="35" t="n"/>
      <c r="B379" s="28" t="n"/>
      <c r="C379" s="32">
        <f>IF(B379="","",IFERROR(INDEX(Inventario!$B$5:$B$200,MATCH(B379,Inventario!$A$5:$A$200,0)),"SKU no existe"))</f>
        <v/>
      </c>
      <c r="D379" s="28" t="n"/>
      <c r="E379" s="28" t="n"/>
      <c r="F379" s="28" t="n"/>
    </row>
    <row r="380" ht="15" customHeight="1" s="19">
      <c r="A380" s="35" t="n"/>
      <c r="B380" s="28" t="n"/>
      <c r="C380" s="32">
        <f>IF(B380="","",IFERROR(INDEX(Inventario!$B$5:$B$200,MATCH(B380,Inventario!$A$5:$A$200,0)),"SKU no existe"))</f>
        <v/>
      </c>
      <c r="D380" s="28" t="n"/>
      <c r="E380" s="28" t="n"/>
      <c r="F380" s="28" t="n"/>
    </row>
    <row r="381" ht="15" customHeight="1" s="19">
      <c r="A381" s="35" t="n"/>
      <c r="B381" s="28" t="n"/>
      <c r="C381" s="32">
        <f>IF(B381="","",IFERROR(INDEX(Inventario!$B$5:$B$200,MATCH(B381,Inventario!$A$5:$A$200,0)),"SKU no existe"))</f>
        <v/>
      </c>
      <c r="D381" s="28" t="n"/>
      <c r="E381" s="28" t="n"/>
      <c r="F381" s="28" t="n"/>
    </row>
    <row r="382" ht="15" customHeight="1" s="19">
      <c r="A382" s="35" t="n"/>
      <c r="B382" s="28" t="n"/>
      <c r="C382" s="32">
        <f>IF(B382="","",IFERROR(INDEX(Inventario!$B$5:$B$200,MATCH(B382,Inventario!$A$5:$A$200,0)),"SKU no existe"))</f>
        <v/>
      </c>
      <c r="D382" s="28" t="n"/>
      <c r="E382" s="28" t="n"/>
      <c r="F382" s="28" t="n"/>
    </row>
    <row r="383" ht="15" customHeight="1" s="19">
      <c r="A383" s="35" t="n"/>
      <c r="B383" s="28" t="n"/>
      <c r="C383" s="32">
        <f>IF(B383="","",IFERROR(INDEX(Inventario!$B$5:$B$200,MATCH(B383,Inventario!$A$5:$A$200,0)),"SKU no existe"))</f>
        <v/>
      </c>
      <c r="D383" s="28" t="n"/>
      <c r="E383" s="28" t="n"/>
      <c r="F383" s="28" t="n"/>
    </row>
    <row r="384" ht="15" customHeight="1" s="19">
      <c r="A384" s="35" t="n"/>
      <c r="B384" s="28" t="n"/>
      <c r="C384" s="32">
        <f>IF(B384="","",IFERROR(INDEX(Inventario!$B$5:$B$200,MATCH(B384,Inventario!$A$5:$A$200,0)),"SKU no existe"))</f>
        <v/>
      </c>
      <c r="D384" s="28" t="n"/>
      <c r="E384" s="28" t="n"/>
      <c r="F384" s="28" t="n"/>
    </row>
    <row r="385" ht="15" customHeight="1" s="19">
      <c r="A385" s="35" t="n"/>
      <c r="B385" s="28" t="n"/>
      <c r="C385" s="32">
        <f>IF(B385="","",IFERROR(INDEX(Inventario!$B$5:$B$200,MATCH(B385,Inventario!$A$5:$A$200,0)),"SKU no existe"))</f>
        <v/>
      </c>
      <c r="D385" s="28" t="n"/>
      <c r="E385" s="28" t="n"/>
      <c r="F385" s="28" t="n"/>
    </row>
    <row r="386" ht="15" customHeight="1" s="19">
      <c r="A386" s="35" t="n"/>
      <c r="B386" s="28" t="n"/>
      <c r="C386" s="32">
        <f>IF(B386="","",IFERROR(INDEX(Inventario!$B$5:$B$200,MATCH(B386,Inventario!$A$5:$A$200,0)),"SKU no existe"))</f>
        <v/>
      </c>
      <c r="D386" s="28" t="n"/>
      <c r="E386" s="28" t="n"/>
      <c r="F386" s="28" t="n"/>
    </row>
    <row r="387" ht="15" customHeight="1" s="19">
      <c r="A387" s="35" t="n"/>
      <c r="B387" s="28" t="n"/>
      <c r="C387" s="32">
        <f>IF(B387="","",IFERROR(INDEX(Inventario!$B$5:$B$200,MATCH(B387,Inventario!$A$5:$A$200,0)),"SKU no existe"))</f>
        <v/>
      </c>
      <c r="D387" s="28" t="n"/>
      <c r="E387" s="28" t="n"/>
      <c r="F387" s="28" t="n"/>
    </row>
    <row r="388" ht="15" customHeight="1" s="19">
      <c r="A388" s="35" t="n"/>
      <c r="B388" s="28" t="n"/>
      <c r="C388" s="32">
        <f>IF(B388="","",IFERROR(INDEX(Inventario!$B$5:$B$200,MATCH(B388,Inventario!$A$5:$A$200,0)),"SKU no existe"))</f>
        <v/>
      </c>
      <c r="D388" s="28" t="n"/>
      <c r="E388" s="28" t="n"/>
      <c r="F388" s="28" t="n"/>
    </row>
    <row r="389" ht="15" customHeight="1" s="19">
      <c r="A389" s="35" t="n"/>
      <c r="B389" s="28" t="n"/>
      <c r="C389" s="32">
        <f>IF(B389="","",IFERROR(INDEX(Inventario!$B$5:$B$200,MATCH(B389,Inventario!$A$5:$A$200,0)),"SKU no existe"))</f>
        <v/>
      </c>
      <c r="D389" s="28" t="n"/>
      <c r="E389" s="28" t="n"/>
      <c r="F389" s="28" t="n"/>
    </row>
    <row r="390" ht="15" customHeight="1" s="19">
      <c r="A390" s="35" t="n"/>
      <c r="B390" s="28" t="n"/>
      <c r="C390" s="32">
        <f>IF(B390="","",IFERROR(INDEX(Inventario!$B$5:$B$200,MATCH(B390,Inventario!$A$5:$A$200,0)),"SKU no existe"))</f>
        <v/>
      </c>
      <c r="D390" s="28" t="n"/>
      <c r="E390" s="28" t="n"/>
      <c r="F390" s="28" t="n"/>
    </row>
    <row r="391" ht="15" customHeight="1" s="19">
      <c r="A391" s="35" t="n"/>
      <c r="B391" s="28" t="n"/>
      <c r="C391" s="32">
        <f>IF(B391="","",IFERROR(INDEX(Inventario!$B$5:$B$200,MATCH(B391,Inventario!$A$5:$A$200,0)),"SKU no existe"))</f>
        <v/>
      </c>
      <c r="D391" s="28" t="n"/>
      <c r="E391" s="28" t="n"/>
      <c r="F391" s="28" t="n"/>
    </row>
    <row r="392" ht="15" customHeight="1" s="19">
      <c r="A392" s="35" t="n"/>
      <c r="B392" s="28" t="n"/>
      <c r="C392" s="32">
        <f>IF(B392="","",IFERROR(INDEX(Inventario!$B$5:$B$200,MATCH(B392,Inventario!$A$5:$A$200,0)),"SKU no existe"))</f>
        <v/>
      </c>
      <c r="D392" s="28" t="n"/>
      <c r="E392" s="28" t="n"/>
      <c r="F392" s="28" t="n"/>
    </row>
    <row r="393" ht="15" customHeight="1" s="19">
      <c r="A393" s="35" t="n"/>
      <c r="B393" s="28" t="n"/>
      <c r="C393" s="32">
        <f>IF(B393="","",IFERROR(INDEX(Inventario!$B$5:$B$200,MATCH(B393,Inventario!$A$5:$A$200,0)),"SKU no existe"))</f>
        <v/>
      </c>
      <c r="D393" s="28" t="n"/>
      <c r="E393" s="28" t="n"/>
      <c r="F393" s="28" t="n"/>
    </row>
    <row r="394" ht="15" customHeight="1" s="19">
      <c r="A394" s="35" t="n"/>
      <c r="B394" s="28" t="n"/>
      <c r="C394" s="32">
        <f>IF(B394="","",IFERROR(INDEX(Inventario!$B$5:$B$200,MATCH(B394,Inventario!$A$5:$A$200,0)),"SKU no existe"))</f>
        <v/>
      </c>
      <c r="D394" s="28" t="n"/>
      <c r="E394" s="28" t="n"/>
      <c r="F394" s="28" t="n"/>
    </row>
    <row r="395" ht="15" customHeight="1" s="19">
      <c r="A395" s="35" t="n"/>
      <c r="B395" s="28" t="n"/>
      <c r="C395" s="32">
        <f>IF(B395="","",IFERROR(INDEX(Inventario!$B$5:$B$200,MATCH(B395,Inventario!$A$5:$A$200,0)),"SKU no existe"))</f>
        <v/>
      </c>
      <c r="D395" s="28" t="n"/>
      <c r="E395" s="28" t="n"/>
      <c r="F395" s="28" t="n"/>
    </row>
    <row r="396" ht="15" customHeight="1" s="19">
      <c r="A396" s="35" t="n"/>
      <c r="B396" s="28" t="n"/>
      <c r="C396" s="32">
        <f>IF(B396="","",IFERROR(INDEX(Inventario!$B$5:$B$200,MATCH(B396,Inventario!$A$5:$A$200,0)),"SKU no existe"))</f>
        <v/>
      </c>
      <c r="D396" s="28" t="n"/>
      <c r="E396" s="28" t="n"/>
      <c r="F396" s="28" t="n"/>
    </row>
    <row r="397" ht="15" customHeight="1" s="19">
      <c r="A397" s="35" t="n"/>
      <c r="B397" s="28" t="n"/>
      <c r="C397" s="32">
        <f>IF(B397="","",IFERROR(INDEX(Inventario!$B$5:$B$200,MATCH(B397,Inventario!$A$5:$A$200,0)),"SKU no existe"))</f>
        <v/>
      </c>
      <c r="D397" s="28" t="n"/>
      <c r="E397" s="28" t="n"/>
      <c r="F397" s="28" t="n"/>
    </row>
    <row r="398" ht="15" customHeight="1" s="19">
      <c r="A398" s="35" t="n"/>
      <c r="B398" s="28" t="n"/>
      <c r="C398" s="32">
        <f>IF(B398="","",IFERROR(INDEX(Inventario!$B$5:$B$200,MATCH(B398,Inventario!$A$5:$A$200,0)),"SKU no existe"))</f>
        <v/>
      </c>
      <c r="D398" s="28" t="n"/>
      <c r="E398" s="28" t="n"/>
      <c r="F398" s="28" t="n"/>
    </row>
    <row r="399" ht="15" customHeight="1" s="19">
      <c r="A399" s="35" t="n"/>
      <c r="B399" s="28" t="n"/>
      <c r="C399" s="32">
        <f>IF(B399="","",IFERROR(INDEX(Inventario!$B$5:$B$200,MATCH(B399,Inventario!$A$5:$A$200,0)),"SKU no existe"))</f>
        <v/>
      </c>
      <c r="D399" s="28" t="n"/>
      <c r="E399" s="28" t="n"/>
      <c r="F399" s="28" t="n"/>
    </row>
    <row r="400" ht="15" customHeight="1" s="19">
      <c r="A400" s="35" t="n"/>
      <c r="B400" s="28" t="n"/>
      <c r="C400" s="32">
        <f>IF(B400="","",IFERROR(INDEX(Inventario!$B$5:$B$200,MATCH(B400,Inventario!$A$5:$A$200,0)),"SKU no existe"))</f>
        <v/>
      </c>
      <c r="D400" s="28" t="n"/>
      <c r="E400" s="28" t="n"/>
      <c r="F400" s="28" t="n"/>
    </row>
    <row r="401" ht="15" customHeight="1" s="19">
      <c r="A401" s="35" t="n"/>
      <c r="B401" s="28" t="n"/>
      <c r="C401" s="32">
        <f>IF(B401="","",IFERROR(INDEX(Inventario!$B$5:$B$200,MATCH(B401,Inventario!$A$5:$A$200,0)),"SKU no existe"))</f>
        <v/>
      </c>
      <c r="D401" s="28" t="n"/>
      <c r="E401" s="28" t="n"/>
      <c r="F401" s="28" t="n"/>
    </row>
    <row r="402" ht="15" customHeight="1" s="19">
      <c r="A402" s="35" t="n"/>
      <c r="B402" s="28" t="n"/>
      <c r="C402" s="32">
        <f>IF(B402="","",IFERROR(INDEX(Inventario!$B$5:$B$200,MATCH(B402,Inventario!$A$5:$A$200,0)),"SKU no existe"))</f>
        <v/>
      </c>
      <c r="D402" s="28" t="n"/>
      <c r="E402" s="28" t="n"/>
      <c r="F402" s="28" t="n"/>
    </row>
    <row r="403" ht="15" customHeight="1" s="19">
      <c r="A403" s="35" t="n"/>
      <c r="B403" s="28" t="n"/>
      <c r="C403" s="32">
        <f>IF(B403="","",IFERROR(INDEX(Inventario!$B$5:$B$200,MATCH(B403,Inventario!$A$5:$A$200,0)),"SKU no existe"))</f>
        <v/>
      </c>
      <c r="D403" s="28" t="n"/>
      <c r="E403" s="28" t="n"/>
      <c r="F403" s="28" t="n"/>
    </row>
    <row r="404" ht="15" customHeight="1" s="19">
      <c r="A404" s="35" t="n"/>
      <c r="B404" s="28" t="n"/>
      <c r="C404" s="32">
        <f>IF(B404="","",IFERROR(INDEX(Inventario!$B$5:$B$200,MATCH(B404,Inventario!$A$5:$A$200,0)),"SKU no existe"))</f>
        <v/>
      </c>
      <c r="D404" s="28" t="n"/>
      <c r="E404" s="28" t="n"/>
      <c r="F404" s="28" t="n"/>
    </row>
    <row r="405" ht="15" customHeight="1" s="19">
      <c r="A405" s="35" t="n"/>
      <c r="B405" s="28" t="n"/>
      <c r="C405" s="32">
        <f>IF(B405="","",IFERROR(INDEX(Inventario!$B$5:$B$200,MATCH(B405,Inventario!$A$5:$A$200,0)),"SKU no existe"))</f>
        <v/>
      </c>
      <c r="D405" s="28" t="n"/>
      <c r="E405" s="28" t="n"/>
      <c r="F405" s="28" t="n"/>
    </row>
    <row r="406" ht="15" customHeight="1" s="19">
      <c r="A406" s="35" t="n"/>
      <c r="B406" s="28" t="n"/>
      <c r="C406" s="32">
        <f>IF(B406="","",IFERROR(INDEX(Inventario!$B$5:$B$200,MATCH(B406,Inventario!$A$5:$A$200,0)),"SKU no existe"))</f>
        <v/>
      </c>
      <c r="D406" s="28" t="n"/>
      <c r="E406" s="28" t="n"/>
      <c r="F406" s="28" t="n"/>
    </row>
    <row r="407" ht="15" customHeight="1" s="19">
      <c r="A407" s="35" t="n"/>
      <c r="B407" s="28" t="n"/>
      <c r="C407" s="32">
        <f>IF(B407="","",IFERROR(INDEX(Inventario!$B$5:$B$200,MATCH(B407,Inventario!$A$5:$A$200,0)),"SKU no existe"))</f>
        <v/>
      </c>
      <c r="D407" s="28" t="n"/>
      <c r="E407" s="28" t="n"/>
      <c r="F407" s="28" t="n"/>
    </row>
    <row r="408" ht="15" customHeight="1" s="19">
      <c r="A408" s="35" t="n"/>
      <c r="B408" s="28" t="n"/>
      <c r="C408" s="32">
        <f>IF(B408="","",IFERROR(INDEX(Inventario!$B$5:$B$200,MATCH(B408,Inventario!$A$5:$A$200,0)),"SKU no existe"))</f>
        <v/>
      </c>
      <c r="D408" s="28" t="n"/>
      <c r="E408" s="28" t="n"/>
      <c r="F408" s="28" t="n"/>
    </row>
    <row r="409" ht="15" customHeight="1" s="19">
      <c r="A409" s="35" t="n"/>
      <c r="B409" s="28" t="n"/>
      <c r="C409" s="32">
        <f>IF(B409="","",IFERROR(INDEX(Inventario!$B$5:$B$200,MATCH(B409,Inventario!$A$5:$A$200,0)),"SKU no existe"))</f>
        <v/>
      </c>
      <c r="D409" s="28" t="n"/>
      <c r="E409" s="28" t="n"/>
      <c r="F409" s="28" t="n"/>
    </row>
    <row r="410" ht="15" customHeight="1" s="19">
      <c r="A410" s="35" t="n"/>
      <c r="B410" s="28" t="n"/>
      <c r="C410" s="32">
        <f>IF(B410="","",IFERROR(INDEX(Inventario!$B$5:$B$200,MATCH(B410,Inventario!$A$5:$A$200,0)),"SKU no existe"))</f>
        <v/>
      </c>
      <c r="D410" s="28" t="n"/>
      <c r="E410" s="28" t="n"/>
      <c r="F410" s="28" t="n"/>
    </row>
    <row r="411" ht="15" customHeight="1" s="19">
      <c r="A411" s="35" t="n"/>
      <c r="B411" s="28" t="n"/>
      <c r="C411" s="32">
        <f>IF(B411="","",IFERROR(INDEX(Inventario!$B$5:$B$200,MATCH(B411,Inventario!$A$5:$A$200,0)),"SKU no existe"))</f>
        <v/>
      </c>
      <c r="D411" s="28" t="n"/>
      <c r="E411" s="28" t="n"/>
      <c r="F411" s="28" t="n"/>
    </row>
    <row r="412" ht="15" customHeight="1" s="19">
      <c r="A412" s="35" t="n"/>
      <c r="B412" s="28" t="n"/>
      <c r="C412" s="32">
        <f>IF(B412="","",IFERROR(INDEX(Inventario!$B$5:$B$200,MATCH(B412,Inventario!$A$5:$A$200,0)),"SKU no existe"))</f>
        <v/>
      </c>
      <c r="D412" s="28" t="n"/>
      <c r="E412" s="28" t="n"/>
      <c r="F412" s="28" t="n"/>
    </row>
    <row r="413" ht="15" customHeight="1" s="19">
      <c r="A413" s="35" t="n"/>
      <c r="B413" s="28" t="n"/>
      <c r="C413" s="32">
        <f>IF(B413="","",IFERROR(INDEX(Inventario!$B$5:$B$200,MATCH(B413,Inventario!$A$5:$A$200,0)),"SKU no existe"))</f>
        <v/>
      </c>
      <c r="D413" s="28" t="n"/>
      <c r="E413" s="28" t="n"/>
      <c r="F413" s="28" t="n"/>
    </row>
    <row r="414" ht="15" customHeight="1" s="19">
      <c r="A414" s="35" t="n"/>
      <c r="B414" s="28" t="n"/>
      <c r="C414" s="32">
        <f>IF(B414="","",IFERROR(INDEX(Inventario!$B$5:$B$200,MATCH(B414,Inventario!$A$5:$A$200,0)),"SKU no existe"))</f>
        <v/>
      </c>
      <c r="D414" s="28" t="n"/>
      <c r="E414" s="28" t="n"/>
      <c r="F414" s="28" t="n"/>
    </row>
    <row r="415" ht="15" customHeight="1" s="19">
      <c r="A415" s="35" t="n"/>
      <c r="B415" s="28" t="n"/>
      <c r="C415" s="32">
        <f>IF(B415="","",IFERROR(INDEX(Inventario!$B$5:$B$200,MATCH(B415,Inventario!$A$5:$A$200,0)),"SKU no existe"))</f>
        <v/>
      </c>
      <c r="D415" s="28" t="n"/>
      <c r="E415" s="28" t="n"/>
      <c r="F415" s="28" t="n"/>
    </row>
    <row r="416" ht="15" customHeight="1" s="19">
      <c r="A416" s="35" t="n"/>
      <c r="B416" s="28" t="n"/>
      <c r="C416" s="32">
        <f>IF(B416="","",IFERROR(INDEX(Inventario!$B$5:$B$200,MATCH(B416,Inventario!$A$5:$A$200,0)),"SKU no existe"))</f>
        <v/>
      </c>
      <c r="D416" s="28" t="n"/>
      <c r="E416" s="28" t="n"/>
      <c r="F416" s="28" t="n"/>
    </row>
    <row r="417" ht="15" customHeight="1" s="19">
      <c r="A417" s="35" t="n"/>
      <c r="B417" s="28" t="n"/>
      <c r="C417" s="32">
        <f>IF(B417="","",IFERROR(INDEX(Inventario!$B$5:$B$200,MATCH(B417,Inventario!$A$5:$A$200,0)),"SKU no existe"))</f>
        <v/>
      </c>
      <c r="D417" s="28" t="n"/>
      <c r="E417" s="28" t="n"/>
      <c r="F417" s="28" t="n"/>
    </row>
    <row r="418" ht="15" customHeight="1" s="19">
      <c r="A418" s="35" t="n"/>
      <c r="B418" s="28" t="n"/>
      <c r="C418" s="32">
        <f>IF(B418="","",IFERROR(INDEX(Inventario!$B$5:$B$200,MATCH(B418,Inventario!$A$5:$A$200,0)),"SKU no existe"))</f>
        <v/>
      </c>
      <c r="D418" s="28" t="n"/>
      <c r="E418" s="28" t="n"/>
      <c r="F418" s="28" t="n"/>
    </row>
    <row r="419" ht="15" customHeight="1" s="19">
      <c r="A419" s="35" t="n"/>
      <c r="B419" s="28" t="n"/>
      <c r="C419" s="32">
        <f>IF(B419="","",IFERROR(INDEX(Inventario!$B$5:$B$200,MATCH(B419,Inventario!$A$5:$A$200,0)),"SKU no existe"))</f>
        <v/>
      </c>
      <c r="D419" s="28" t="n"/>
      <c r="E419" s="28" t="n"/>
      <c r="F419" s="28" t="n"/>
    </row>
    <row r="420" ht="15" customHeight="1" s="19">
      <c r="A420" s="35" t="n"/>
      <c r="B420" s="28" t="n"/>
      <c r="C420" s="32">
        <f>IF(B420="","",IFERROR(INDEX(Inventario!$B$5:$B$200,MATCH(B420,Inventario!$A$5:$A$200,0)),"SKU no existe"))</f>
        <v/>
      </c>
      <c r="D420" s="28" t="n"/>
      <c r="E420" s="28" t="n"/>
      <c r="F420" s="28" t="n"/>
    </row>
    <row r="421" ht="15" customHeight="1" s="19">
      <c r="A421" s="35" t="n"/>
      <c r="B421" s="28" t="n"/>
      <c r="C421" s="32">
        <f>IF(B421="","",IFERROR(INDEX(Inventario!$B$5:$B$200,MATCH(B421,Inventario!$A$5:$A$200,0)),"SKU no existe"))</f>
        <v/>
      </c>
      <c r="D421" s="28" t="n"/>
      <c r="E421" s="28" t="n"/>
      <c r="F421" s="28" t="n"/>
    </row>
    <row r="422" ht="15" customHeight="1" s="19">
      <c r="A422" s="35" t="n"/>
      <c r="B422" s="28" t="n"/>
      <c r="C422" s="32">
        <f>IF(B422="","",IFERROR(INDEX(Inventario!$B$5:$B$200,MATCH(B422,Inventario!$A$5:$A$200,0)),"SKU no existe"))</f>
        <v/>
      </c>
      <c r="D422" s="28" t="n"/>
      <c r="E422" s="28" t="n"/>
      <c r="F422" s="28" t="n"/>
    </row>
    <row r="423" ht="15" customHeight="1" s="19">
      <c r="A423" s="35" t="n"/>
      <c r="B423" s="28" t="n"/>
      <c r="C423" s="32">
        <f>IF(B423="","",IFERROR(INDEX(Inventario!$B$5:$B$200,MATCH(B423,Inventario!$A$5:$A$200,0)),"SKU no existe"))</f>
        <v/>
      </c>
      <c r="D423" s="28" t="n"/>
      <c r="E423" s="28" t="n"/>
      <c r="F423" s="28" t="n"/>
    </row>
    <row r="424" ht="15" customHeight="1" s="19">
      <c r="A424" s="35" t="n"/>
      <c r="B424" s="28" t="n"/>
      <c r="C424" s="32">
        <f>IF(B424="","",IFERROR(INDEX(Inventario!$B$5:$B$200,MATCH(B424,Inventario!$A$5:$A$200,0)),"SKU no existe"))</f>
        <v/>
      </c>
      <c r="D424" s="28" t="n"/>
      <c r="E424" s="28" t="n"/>
      <c r="F424" s="28" t="n"/>
    </row>
    <row r="425" ht="15" customHeight="1" s="19">
      <c r="A425" s="35" t="n"/>
      <c r="B425" s="28" t="n"/>
      <c r="C425" s="32">
        <f>IF(B425="","",IFERROR(INDEX(Inventario!$B$5:$B$200,MATCH(B425,Inventario!$A$5:$A$200,0)),"SKU no existe"))</f>
        <v/>
      </c>
      <c r="D425" s="28" t="n"/>
      <c r="E425" s="28" t="n"/>
      <c r="F425" s="28" t="n"/>
    </row>
    <row r="426" ht="15" customHeight="1" s="19">
      <c r="A426" s="35" t="n"/>
      <c r="B426" s="28" t="n"/>
      <c r="C426" s="32">
        <f>IF(B426="","",IFERROR(INDEX(Inventario!$B$5:$B$200,MATCH(B426,Inventario!$A$5:$A$200,0)),"SKU no existe"))</f>
        <v/>
      </c>
      <c r="D426" s="28" t="n"/>
      <c r="E426" s="28" t="n"/>
      <c r="F426" s="28" t="n"/>
    </row>
    <row r="427" ht="15" customHeight="1" s="19">
      <c r="A427" s="35" t="n"/>
      <c r="B427" s="28" t="n"/>
      <c r="C427" s="32">
        <f>IF(B427="","",IFERROR(INDEX(Inventario!$B$5:$B$200,MATCH(B427,Inventario!$A$5:$A$200,0)),"SKU no existe"))</f>
        <v/>
      </c>
      <c r="D427" s="28" t="n"/>
      <c r="E427" s="28" t="n"/>
      <c r="F427" s="28" t="n"/>
    </row>
    <row r="428" ht="15" customHeight="1" s="19">
      <c r="A428" s="35" t="n"/>
      <c r="B428" s="28" t="n"/>
      <c r="C428" s="32">
        <f>IF(B428="","",IFERROR(INDEX(Inventario!$B$5:$B$200,MATCH(B428,Inventario!$A$5:$A$200,0)),"SKU no existe"))</f>
        <v/>
      </c>
      <c r="D428" s="28" t="n"/>
      <c r="E428" s="28" t="n"/>
      <c r="F428" s="28" t="n"/>
    </row>
    <row r="429" ht="15" customHeight="1" s="19">
      <c r="A429" s="35" t="n"/>
      <c r="B429" s="28" t="n"/>
      <c r="C429" s="32">
        <f>IF(B429="","",IFERROR(INDEX(Inventario!$B$5:$B$200,MATCH(B429,Inventario!$A$5:$A$200,0)),"SKU no existe"))</f>
        <v/>
      </c>
      <c r="D429" s="28" t="n"/>
      <c r="E429" s="28" t="n"/>
      <c r="F429" s="28" t="n"/>
    </row>
    <row r="430" ht="15" customHeight="1" s="19">
      <c r="A430" s="35" t="n"/>
      <c r="B430" s="28" t="n"/>
      <c r="C430" s="32">
        <f>IF(B430="","",IFERROR(INDEX(Inventario!$B$5:$B$200,MATCH(B430,Inventario!$A$5:$A$200,0)),"SKU no existe"))</f>
        <v/>
      </c>
      <c r="D430" s="28" t="n"/>
      <c r="E430" s="28" t="n"/>
      <c r="F430" s="28" t="n"/>
    </row>
    <row r="431" ht="15" customHeight="1" s="19">
      <c r="A431" s="35" t="n"/>
      <c r="B431" s="28" t="n"/>
      <c r="C431" s="32">
        <f>IF(B431="","",IFERROR(INDEX(Inventario!$B$5:$B$200,MATCH(B431,Inventario!$A$5:$A$200,0)),"SKU no existe"))</f>
        <v/>
      </c>
      <c r="D431" s="28" t="n"/>
      <c r="E431" s="28" t="n"/>
      <c r="F431" s="28" t="n"/>
    </row>
    <row r="432" ht="15" customHeight="1" s="19">
      <c r="A432" s="35" t="n"/>
      <c r="B432" s="28" t="n"/>
      <c r="C432" s="32">
        <f>IF(B432="","",IFERROR(INDEX(Inventario!$B$5:$B$200,MATCH(B432,Inventario!$A$5:$A$200,0)),"SKU no existe"))</f>
        <v/>
      </c>
      <c r="D432" s="28" t="n"/>
      <c r="E432" s="28" t="n"/>
      <c r="F432" s="28" t="n"/>
    </row>
    <row r="433" ht="15" customHeight="1" s="19">
      <c r="A433" s="35" t="n"/>
      <c r="B433" s="28" t="n"/>
      <c r="C433" s="32">
        <f>IF(B433="","",IFERROR(INDEX(Inventario!$B$5:$B$200,MATCH(B433,Inventario!$A$5:$A$200,0)),"SKU no existe"))</f>
        <v/>
      </c>
      <c r="D433" s="28" t="n"/>
      <c r="E433" s="28" t="n"/>
      <c r="F433" s="28" t="n"/>
    </row>
    <row r="434" ht="15" customHeight="1" s="19">
      <c r="A434" s="35" t="n"/>
      <c r="B434" s="28" t="n"/>
      <c r="C434" s="32">
        <f>IF(B434="","",IFERROR(INDEX(Inventario!$B$5:$B$200,MATCH(B434,Inventario!$A$5:$A$200,0)),"SKU no existe"))</f>
        <v/>
      </c>
      <c r="D434" s="28" t="n"/>
      <c r="E434" s="28" t="n"/>
      <c r="F434" s="28" t="n"/>
    </row>
    <row r="435" ht="15" customHeight="1" s="19">
      <c r="A435" s="35" t="n"/>
      <c r="B435" s="28" t="n"/>
      <c r="C435" s="32">
        <f>IF(B435="","",IFERROR(INDEX(Inventario!$B$5:$B$200,MATCH(B435,Inventario!$A$5:$A$200,0)),"SKU no existe"))</f>
        <v/>
      </c>
      <c r="D435" s="28" t="n"/>
      <c r="E435" s="28" t="n"/>
      <c r="F435" s="28" t="n"/>
    </row>
    <row r="436" ht="15" customHeight="1" s="19">
      <c r="A436" s="35" t="n"/>
      <c r="B436" s="28" t="n"/>
      <c r="C436" s="32">
        <f>IF(B436="","",IFERROR(INDEX(Inventario!$B$5:$B$200,MATCH(B436,Inventario!$A$5:$A$200,0)),"SKU no existe"))</f>
        <v/>
      </c>
      <c r="D436" s="28" t="n"/>
      <c r="E436" s="28" t="n"/>
      <c r="F436" s="28" t="n"/>
    </row>
    <row r="437" ht="15" customHeight="1" s="19">
      <c r="A437" s="35" t="n"/>
      <c r="B437" s="28" t="n"/>
      <c r="C437" s="32">
        <f>IF(B437="","",IFERROR(INDEX(Inventario!$B$5:$B$200,MATCH(B437,Inventario!$A$5:$A$200,0)),"SKU no existe"))</f>
        <v/>
      </c>
      <c r="D437" s="28" t="n"/>
      <c r="E437" s="28" t="n"/>
      <c r="F437" s="28" t="n"/>
    </row>
    <row r="438" ht="15" customHeight="1" s="19">
      <c r="A438" s="35" t="n"/>
      <c r="B438" s="28" t="n"/>
      <c r="C438" s="32">
        <f>IF(B438="","",IFERROR(INDEX(Inventario!$B$5:$B$200,MATCH(B438,Inventario!$A$5:$A$200,0)),"SKU no existe"))</f>
        <v/>
      </c>
      <c r="D438" s="28" t="n"/>
      <c r="E438" s="28" t="n"/>
      <c r="F438" s="28" t="n"/>
    </row>
    <row r="439" ht="15" customHeight="1" s="19">
      <c r="A439" s="35" t="n"/>
      <c r="B439" s="28" t="n"/>
      <c r="C439" s="32">
        <f>IF(B439="","",IFERROR(INDEX(Inventario!$B$5:$B$200,MATCH(B439,Inventario!$A$5:$A$200,0)),"SKU no existe"))</f>
        <v/>
      </c>
      <c r="D439" s="28" t="n"/>
      <c r="E439" s="28" t="n"/>
      <c r="F439" s="28" t="n"/>
    </row>
    <row r="440" ht="15" customHeight="1" s="19">
      <c r="A440" s="35" t="n"/>
      <c r="B440" s="28" t="n"/>
      <c r="C440" s="32">
        <f>IF(B440="","",IFERROR(INDEX(Inventario!$B$5:$B$200,MATCH(B440,Inventario!$A$5:$A$200,0)),"SKU no existe"))</f>
        <v/>
      </c>
      <c r="D440" s="28" t="n"/>
      <c r="E440" s="28" t="n"/>
      <c r="F440" s="28" t="n"/>
    </row>
    <row r="441" ht="15" customHeight="1" s="19">
      <c r="A441" s="35" t="n"/>
      <c r="B441" s="28" t="n"/>
      <c r="C441" s="32">
        <f>IF(B441="","",IFERROR(INDEX(Inventario!$B$5:$B$200,MATCH(B441,Inventario!$A$5:$A$200,0)),"SKU no existe"))</f>
        <v/>
      </c>
      <c r="D441" s="28" t="n"/>
      <c r="E441" s="28" t="n"/>
      <c r="F441" s="28" t="n"/>
    </row>
    <row r="442" ht="15" customHeight="1" s="19">
      <c r="A442" s="35" t="n"/>
      <c r="B442" s="28" t="n"/>
      <c r="C442" s="32">
        <f>IF(B442="","",IFERROR(INDEX(Inventario!$B$5:$B$200,MATCH(B442,Inventario!$A$5:$A$200,0)),"SKU no existe"))</f>
        <v/>
      </c>
      <c r="D442" s="28" t="n"/>
      <c r="E442" s="28" t="n"/>
      <c r="F442" s="28" t="n"/>
    </row>
    <row r="443" ht="15" customHeight="1" s="19">
      <c r="A443" s="35" t="n"/>
      <c r="B443" s="28" t="n"/>
      <c r="C443" s="32">
        <f>IF(B443="","",IFERROR(INDEX(Inventario!$B$5:$B$200,MATCH(B443,Inventario!$A$5:$A$200,0)),"SKU no existe"))</f>
        <v/>
      </c>
      <c r="D443" s="28" t="n"/>
      <c r="E443" s="28" t="n"/>
      <c r="F443" s="28" t="n"/>
    </row>
    <row r="444" ht="15" customHeight="1" s="19">
      <c r="A444" s="35" t="n"/>
      <c r="B444" s="28" t="n"/>
      <c r="C444" s="32">
        <f>IF(B444="","",IFERROR(INDEX(Inventario!$B$5:$B$200,MATCH(B444,Inventario!$A$5:$A$200,0)),"SKU no existe"))</f>
        <v/>
      </c>
      <c r="D444" s="28" t="n"/>
      <c r="E444" s="28" t="n"/>
      <c r="F444" s="28" t="n"/>
    </row>
    <row r="445" ht="15" customHeight="1" s="19">
      <c r="A445" s="35" t="n"/>
      <c r="B445" s="28" t="n"/>
      <c r="C445" s="32">
        <f>IF(B445="","",IFERROR(INDEX(Inventario!$B$5:$B$200,MATCH(B445,Inventario!$A$5:$A$200,0)),"SKU no existe"))</f>
        <v/>
      </c>
      <c r="D445" s="28" t="n"/>
      <c r="E445" s="28" t="n"/>
      <c r="F445" s="28" t="n"/>
    </row>
    <row r="446" ht="15" customHeight="1" s="19">
      <c r="A446" s="35" t="n"/>
      <c r="B446" s="28" t="n"/>
      <c r="C446" s="32">
        <f>IF(B446="","",IFERROR(INDEX(Inventario!$B$5:$B$200,MATCH(B446,Inventario!$A$5:$A$200,0)),"SKU no existe"))</f>
        <v/>
      </c>
      <c r="D446" s="28" t="n"/>
      <c r="E446" s="28" t="n"/>
      <c r="F446" s="28" t="n"/>
    </row>
    <row r="447" ht="15" customHeight="1" s="19">
      <c r="A447" s="35" t="n"/>
      <c r="B447" s="28" t="n"/>
      <c r="C447" s="32">
        <f>IF(B447="","",IFERROR(INDEX(Inventario!$B$5:$B$200,MATCH(B447,Inventario!$A$5:$A$200,0)),"SKU no existe"))</f>
        <v/>
      </c>
      <c r="D447" s="28" t="n"/>
      <c r="E447" s="28" t="n"/>
      <c r="F447" s="28" t="n"/>
    </row>
    <row r="448" ht="15" customHeight="1" s="19">
      <c r="A448" s="35" t="n"/>
      <c r="B448" s="28" t="n"/>
      <c r="C448" s="32">
        <f>IF(B448="","",IFERROR(INDEX(Inventario!$B$5:$B$200,MATCH(B448,Inventario!$A$5:$A$200,0)),"SKU no existe"))</f>
        <v/>
      </c>
      <c r="D448" s="28" t="n"/>
      <c r="E448" s="28" t="n"/>
      <c r="F448" s="28" t="n"/>
    </row>
    <row r="449" ht="15" customHeight="1" s="19">
      <c r="A449" s="35" t="n"/>
      <c r="B449" s="28" t="n"/>
      <c r="C449" s="32">
        <f>IF(B449="","",IFERROR(INDEX(Inventario!$B$5:$B$200,MATCH(B449,Inventario!$A$5:$A$200,0)),"SKU no existe"))</f>
        <v/>
      </c>
      <c r="D449" s="28" t="n"/>
      <c r="E449" s="28" t="n"/>
      <c r="F449" s="28" t="n"/>
    </row>
    <row r="450" ht="15" customHeight="1" s="19">
      <c r="A450" s="35" t="n"/>
      <c r="B450" s="28" t="n"/>
      <c r="C450" s="32">
        <f>IF(B450="","",IFERROR(INDEX(Inventario!$B$5:$B$200,MATCH(B450,Inventario!$A$5:$A$200,0)),"SKU no existe"))</f>
        <v/>
      </c>
      <c r="D450" s="28" t="n"/>
      <c r="E450" s="28" t="n"/>
      <c r="F450" s="28" t="n"/>
    </row>
    <row r="451" ht="15" customHeight="1" s="19">
      <c r="A451" s="35" t="n"/>
      <c r="B451" s="28" t="n"/>
      <c r="C451" s="32">
        <f>IF(B451="","",IFERROR(INDEX(Inventario!$B$5:$B$200,MATCH(B451,Inventario!$A$5:$A$200,0)),"SKU no existe"))</f>
        <v/>
      </c>
      <c r="D451" s="28" t="n"/>
      <c r="E451" s="28" t="n"/>
      <c r="F451" s="28" t="n"/>
    </row>
    <row r="452" ht="15" customHeight="1" s="19">
      <c r="A452" s="35" t="n"/>
      <c r="B452" s="28" t="n"/>
      <c r="C452" s="32">
        <f>IF(B452="","",IFERROR(INDEX(Inventario!$B$5:$B$200,MATCH(B452,Inventario!$A$5:$A$200,0)),"SKU no existe"))</f>
        <v/>
      </c>
      <c r="D452" s="28" t="n"/>
      <c r="E452" s="28" t="n"/>
      <c r="F452" s="28" t="n"/>
    </row>
    <row r="453" ht="15" customHeight="1" s="19">
      <c r="A453" s="35" t="n"/>
      <c r="B453" s="28" t="n"/>
      <c r="C453" s="32">
        <f>IF(B453="","",IFERROR(INDEX(Inventario!$B$5:$B$200,MATCH(B453,Inventario!$A$5:$A$200,0)),"SKU no existe"))</f>
        <v/>
      </c>
      <c r="D453" s="28" t="n"/>
      <c r="E453" s="28" t="n"/>
      <c r="F453" s="28" t="n"/>
    </row>
    <row r="454" ht="15" customHeight="1" s="19">
      <c r="A454" s="35" t="n"/>
      <c r="B454" s="28" t="n"/>
      <c r="C454" s="32">
        <f>IF(B454="","",IFERROR(INDEX(Inventario!$B$5:$B$200,MATCH(B454,Inventario!$A$5:$A$200,0)),"SKU no existe"))</f>
        <v/>
      </c>
      <c r="D454" s="28" t="n"/>
      <c r="E454" s="28" t="n"/>
      <c r="F454" s="28" t="n"/>
    </row>
    <row r="455" ht="15" customHeight="1" s="19">
      <c r="A455" s="35" t="n"/>
      <c r="B455" s="28" t="n"/>
      <c r="C455" s="32">
        <f>IF(B455="","",IFERROR(INDEX(Inventario!$B$5:$B$200,MATCH(B455,Inventario!$A$5:$A$200,0)),"SKU no existe"))</f>
        <v/>
      </c>
      <c r="D455" s="28" t="n"/>
      <c r="E455" s="28" t="n"/>
      <c r="F455" s="28" t="n"/>
    </row>
    <row r="456" ht="15" customHeight="1" s="19">
      <c r="A456" s="35" t="n"/>
      <c r="B456" s="28" t="n"/>
      <c r="C456" s="32">
        <f>IF(B456="","",IFERROR(INDEX(Inventario!$B$5:$B$200,MATCH(B456,Inventario!$A$5:$A$200,0)),"SKU no existe"))</f>
        <v/>
      </c>
      <c r="D456" s="28" t="n"/>
      <c r="E456" s="28" t="n"/>
      <c r="F456" s="28" t="n"/>
    </row>
    <row r="457" ht="15" customHeight="1" s="19">
      <c r="A457" s="35" t="n"/>
      <c r="B457" s="28" t="n"/>
      <c r="C457" s="32">
        <f>IF(B457="","",IFERROR(INDEX(Inventario!$B$5:$B$200,MATCH(B457,Inventario!$A$5:$A$200,0)),"SKU no existe"))</f>
        <v/>
      </c>
      <c r="D457" s="28" t="n"/>
      <c r="E457" s="28" t="n"/>
      <c r="F457" s="28" t="n"/>
    </row>
    <row r="458" ht="15" customHeight="1" s="19">
      <c r="A458" s="35" t="n"/>
      <c r="B458" s="28" t="n"/>
      <c r="C458" s="32">
        <f>IF(B458="","",IFERROR(INDEX(Inventario!$B$5:$B$200,MATCH(B458,Inventario!$A$5:$A$200,0)),"SKU no existe"))</f>
        <v/>
      </c>
      <c r="D458" s="28" t="n"/>
      <c r="E458" s="28" t="n"/>
      <c r="F458" s="28" t="n"/>
    </row>
    <row r="459" ht="15" customHeight="1" s="19">
      <c r="A459" s="35" t="n"/>
      <c r="B459" s="28" t="n"/>
      <c r="C459" s="32">
        <f>IF(B459="","",IFERROR(INDEX(Inventario!$B$5:$B$200,MATCH(B459,Inventario!$A$5:$A$200,0)),"SKU no existe"))</f>
        <v/>
      </c>
      <c r="D459" s="28" t="n"/>
      <c r="E459" s="28" t="n"/>
      <c r="F459" s="28" t="n"/>
    </row>
    <row r="460" ht="15" customHeight="1" s="19">
      <c r="A460" s="35" t="n"/>
      <c r="B460" s="28" t="n"/>
      <c r="C460" s="32">
        <f>IF(B460="","",IFERROR(INDEX(Inventario!$B$5:$B$200,MATCH(B460,Inventario!$A$5:$A$200,0)),"SKU no existe"))</f>
        <v/>
      </c>
      <c r="D460" s="28" t="n"/>
      <c r="E460" s="28" t="n"/>
      <c r="F460" s="28" t="n"/>
    </row>
    <row r="461" ht="15" customHeight="1" s="19">
      <c r="A461" s="35" t="n"/>
      <c r="B461" s="28" t="n"/>
      <c r="C461" s="32">
        <f>IF(B461="","",IFERROR(INDEX(Inventario!$B$5:$B$200,MATCH(B461,Inventario!$A$5:$A$200,0)),"SKU no existe"))</f>
        <v/>
      </c>
      <c r="D461" s="28" t="n"/>
      <c r="E461" s="28" t="n"/>
      <c r="F461" s="28" t="n"/>
    </row>
    <row r="462" ht="15" customHeight="1" s="19">
      <c r="A462" s="35" t="n"/>
      <c r="B462" s="28" t="n"/>
      <c r="C462" s="32">
        <f>IF(B462="","",IFERROR(INDEX(Inventario!$B$5:$B$200,MATCH(B462,Inventario!$A$5:$A$200,0)),"SKU no existe"))</f>
        <v/>
      </c>
      <c r="D462" s="28" t="n"/>
      <c r="E462" s="28" t="n"/>
      <c r="F462" s="28" t="n"/>
    </row>
    <row r="463" ht="15" customHeight="1" s="19">
      <c r="A463" s="35" t="n"/>
      <c r="B463" s="28" t="n"/>
      <c r="C463" s="32">
        <f>IF(B463="","",IFERROR(INDEX(Inventario!$B$5:$B$200,MATCH(B463,Inventario!$A$5:$A$200,0)),"SKU no existe"))</f>
        <v/>
      </c>
      <c r="D463" s="28" t="n"/>
      <c r="E463" s="28" t="n"/>
      <c r="F463" s="28" t="n"/>
    </row>
    <row r="464" ht="15" customHeight="1" s="19">
      <c r="A464" s="35" t="n"/>
      <c r="B464" s="28" t="n"/>
      <c r="C464" s="32">
        <f>IF(B464="","",IFERROR(INDEX(Inventario!$B$5:$B$200,MATCH(B464,Inventario!$A$5:$A$200,0)),"SKU no existe"))</f>
        <v/>
      </c>
      <c r="D464" s="28" t="n"/>
      <c r="E464" s="28" t="n"/>
      <c r="F464" s="28" t="n"/>
    </row>
    <row r="465" ht="15" customHeight="1" s="19">
      <c r="A465" s="35" t="n"/>
      <c r="B465" s="28" t="n"/>
      <c r="C465" s="32">
        <f>IF(B465="","",IFERROR(INDEX(Inventario!$B$5:$B$200,MATCH(B465,Inventario!$A$5:$A$200,0)),"SKU no existe"))</f>
        <v/>
      </c>
      <c r="D465" s="28" t="n"/>
      <c r="E465" s="28" t="n"/>
      <c r="F465" s="28" t="n"/>
    </row>
    <row r="466" ht="15" customHeight="1" s="19">
      <c r="A466" s="35" t="n"/>
      <c r="B466" s="28" t="n"/>
      <c r="C466" s="32">
        <f>IF(B466="","",IFERROR(INDEX(Inventario!$B$5:$B$200,MATCH(B466,Inventario!$A$5:$A$200,0)),"SKU no existe"))</f>
        <v/>
      </c>
      <c r="D466" s="28" t="n"/>
      <c r="E466" s="28" t="n"/>
      <c r="F466" s="28" t="n"/>
    </row>
    <row r="467" ht="15" customHeight="1" s="19">
      <c r="A467" s="35" t="n"/>
      <c r="B467" s="28" t="n"/>
      <c r="C467" s="32">
        <f>IF(B467="","",IFERROR(INDEX(Inventario!$B$5:$B$200,MATCH(B467,Inventario!$A$5:$A$200,0)),"SKU no existe"))</f>
        <v/>
      </c>
      <c r="D467" s="28" t="n"/>
      <c r="E467" s="28" t="n"/>
      <c r="F467" s="28" t="n"/>
    </row>
    <row r="468" ht="15" customHeight="1" s="19">
      <c r="A468" s="35" t="n"/>
      <c r="B468" s="28" t="n"/>
      <c r="C468" s="32">
        <f>IF(B468="","",IFERROR(INDEX(Inventario!$B$5:$B$200,MATCH(B468,Inventario!$A$5:$A$200,0)),"SKU no existe"))</f>
        <v/>
      </c>
      <c r="D468" s="28" t="n"/>
      <c r="E468" s="28" t="n"/>
      <c r="F468" s="28" t="n"/>
    </row>
    <row r="469" ht="15" customHeight="1" s="19">
      <c r="A469" s="35" t="n"/>
      <c r="B469" s="28" t="n"/>
      <c r="C469" s="32">
        <f>IF(B469="","",IFERROR(INDEX(Inventario!$B$5:$B$200,MATCH(B469,Inventario!$A$5:$A$200,0)),"SKU no existe"))</f>
        <v/>
      </c>
      <c r="D469" s="28" t="n"/>
      <c r="E469" s="28" t="n"/>
      <c r="F469" s="28" t="n"/>
    </row>
    <row r="470" ht="15" customHeight="1" s="19">
      <c r="A470" s="35" t="n"/>
      <c r="B470" s="28" t="n"/>
      <c r="C470" s="32">
        <f>IF(B470="","",IFERROR(INDEX(Inventario!$B$5:$B$200,MATCH(B470,Inventario!$A$5:$A$200,0)),"SKU no existe"))</f>
        <v/>
      </c>
      <c r="D470" s="28" t="n"/>
      <c r="E470" s="28" t="n"/>
      <c r="F470" s="28" t="n"/>
    </row>
    <row r="471" ht="15" customHeight="1" s="19">
      <c r="A471" s="35" t="n"/>
      <c r="B471" s="28" t="n"/>
      <c r="C471" s="32">
        <f>IF(B471="","",IFERROR(INDEX(Inventario!$B$5:$B$200,MATCH(B471,Inventario!$A$5:$A$200,0)),"SKU no existe"))</f>
        <v/>
      </c>
      <c r="D471" s="28" t="n"/>
      <c r="E471" s="28" t="n"/>
      <c r="F471" s="28" t="n"/>
    </row>
    <row r="472" ht="15" customHeight="1" s="19">
      <c r="A472" s="35" t="n"/>
      <c r="B472" s="28" t="n"/>
      <c r="C472" s="32">
        <f>IF(B472="","",IFERROR(INDEX(Inventario!$B$5:$B$200,MATCH(B472,Inventario!$A$5:$A$200,0)),"SKU no existe"))</f>
        <v/>
      </c>
      <c r="D472" s="28" t="n"/>
      <c r="E472" s="28" t="n"/>
      <c r="F472" s="28" t="n"/>
    </row>
    <row r="473" ht="15" customHeight="1" s="19">
      <c r="A473" s="35" t="n"/>
      <c r="B473" s="28" t="n"/>
      <c r="C473" s="32">
        <f>IF(B473="","",IFERROR(INDEX(Inventario!$B$5:$B$200,MATCH(B473,Inventario!$A$5:$A$200,0)),"SKU no existe"))</f>
        <v/>
      </c>
      <c r="D473" s="28" t="n"/>
      <c r="E473" s="28" t="n"/>
      <c r="F473" s="28" t="n"/>
    </row>
    <row r="474" ht="15" customHeight="1" s="19">
      <c r="A474" s="35" t="n"/>
      <c r="B474" s="28" t="n"/>
      <c r="C474" s="32">
        <f>IF(B474="","",IFERROR(INDEX(Inventario!$B$5:$B$200,MATCH(B474,Inventario!$A$5:$A$200,0)),"SKU no existe"))</f>
        <v/>
      </c>
      <c r="D474" s="28" t="n"/>
      <c r="E474" s="28" t="n"/>
      <c r="F474" s="28" t="n"/>
    </row>
    <row r="475" ht="15" customHeight="1" s="19">
      <c r="A475" s="35" t="n"/>
      <c r="B475" s="28" t="n"/>
      <c r="C475" s="32">
        <f>IF(B475="","",IFERROR(INDEX(Inventario!$B$5:$B$200,MATCH(B475,Inventario!$A$5:$A$200,0)),"SKU no existe"))</f>
        <v/>
      </c>
      <c r="D475" s="28" t="n"/>
      <c r="E475" s="28" t="n"/>
      <c r="F475" s="28" t="n"/>
    </row>
    <row r="476" ht="15" customHeight="1" s="19">
      <c r="A476" s="35" t="n"/>
      <c r="B476" s="28" t="n"/>
      <c r="C476" s="32">
        <f>IF(B476="","",IFERROR(INDEX(Inventario!$B$5:$B$200,MATCH(B476,Inventario!$A$5:$A$200,0)),"SKU no existe"))</f>
        <v/>
      </c>
      <c r="D476" s="28" t="n"/>
      <c r="E476" s="28" t="n"/>
      <c r="F476" s="28" t="n"/>
    </row>
    <row r="477" ht="15" customHeight="1" s="19">
      <c r="A477" s="35" t="n"/>
      <c r="B477" s="28" t="n"/>
      <c r="C477" s="32">
        <f>IF(B477="","",IFERROR(INDEX(Inventario!$B$5:$B$200,MATCH(B477,Inventario!$A$5:$A$200,0)),"SKU no existe"))</f>
        <v/>
      </c>
      <c r="D477" s="28" t="n"/>
      <c r="E477" s="28" t="n"/>
      <c r="F477" s="28" t="n"/>
    </row>
    <row r="478" ht="15" customHeight="1" s="19">
      <c r="A478" s="35" t="n"/>
      <c r="B478" s="28" t="n"/>
      <c r="C478" s="32">
        <f>IF(B478="","",IFERROR(INDEX(Inventario!$B$5:$B$200,MATCH(B478,Inventario!$A$5:$A$200,0)),"SKU no existe"))</f>
        <v/>
      </c>
      <c r="D478" s="28" t="n"/>
      <c r="E478" s="28" t="n"/>
      <c r="F478" s="28" t="n"/>
    </row>
    <row r="479" ht="15" customHeight="1" s="19">
      <c r="A479" s="35" t="n"/>
      <c r="B479" s="28" t="n"/>
      <c r="C479" s="32">
        <f>IF(B479="","",IFERROR(INDEX(Inventario!$B$5:$B$200,MATCH(B479,Inventario!$A$5:$A$200,0)),"SKU no existe"))</f>
        <v/>
      </c>
      <c r="D479" s="28" t="n"/>
      <c r="E479" s="28" t="n"/>
      <c r="F479" s="28" t="n"/>
    </row>
    <row r="480" ht="15" customHeight="1" s="19">
      <c r="A480" s="35" t="n"/>
      <c r="B480" s="28" t="n"/>
      <c r="C480" s="32">
        <f>IF(B480="","",IFERROR(INDEX(Inventario!$B$5:$B$200,MATCH(B480,Inventario!$A$5:$A$200,0)),"SKU no existe"))</f>
        <v/>
      </c>
      <c r="D480" s="28" t="n"/>
      <c r="E480" s="28" t="n"/>
      <c r="F480" s="28" t="n"/>
    </row>
    <row r="481" ht="15" customHeight="1" s="19">
      <c r="A481" s="35" t="n"/>
      <c r="B481" s="28" t="n"/>
      <c r="C481" s="32">
        <f>IF(B481="","",IFERROR(INDEX(Inventario!$B$5:$B$200,MATCH(B481,Inventario!$A$5:$A$200,0)),"SKU no existe"))</f>
        <v/>
      </c>
      <c r="D481" s="28" t="n"/>
      <c r="E481" s="28" t="n"/>
      <c r="F481" s="28" t="n"/>
    </row>
    <row r="482" ht="15" customHeight="1" s="19">
      <c r="A482" s="35" t="n"/>
      <c r="B482" s="28" t="n"/>
      <c r="C482" s="32">
        <f>IF(B482="","",IFERROR(INDEX(Inventario!$B$5:$B$200,MATCH(B482,Inventario!$A$5:$A$200,0)),"SKU no existe"))</f>
        <v/>
      </c>
      <c r="D482" s="28" t="n"/>
      <c r="E482" s="28" t="n"/>
      <c r="F482" s="28" t="n"/>
    </row>
    <row r="483" ht="15" customHeight="1" s="19">
      <c r="A483" s="35" t="n"/>
      <c r="B483" s="28" t="n"/>
      <c r="C483" s="32">
        <f>IF(B483="","",IFERROR(INDEX(Inventario!$B$5:$B$200,MATCH(B483,Inventario!$A$5:$A$200,0)),"SKU no existe"))</f>
        <v/>
      </c>
      <c r="D483" s="28" t="n"/>
      <c r="E483" s="28" t="n"/>
      <c r="F483" s="28" t="n"/>
    </row>
    <row r="484" ht="15" customHeight="1" s="19">
      <c r="A484" s="35" t="n"/>
      <c r="B484" s="28" t="n"/>
      <c r="C484" s="32">
        <f>IF(B484="","",IFERROR(INDEX(Inventario!$B$5:$B$200,MATCH(B484,Inventario!$A$5:$A$200,0)),"SKU no existe"))</f>
        <v/>
      </c>
      <c r="D484" s="28" t="n"/>
      <c r="E484" s="28" t="n"/>
      <c r="F484" s="28" t="n"/>
    </row>
    <row r="485" ht="15" customHeight="1" s="19">
      <c r="A485" s="35" t="n"/>
      <c r="B485" s="28" t="n"/>
      <c r="C485" s="32">
        <f>IF(B485="","",IFERROR(INDEX(Inventario!$B$5:$B$200,MATCH(B485,Inventario!$A$5:$A$200,0)),"SKU no existe"))</f>
        <v/>
      </c>
      <c r="D485" s="28" t="n"/>
      <c r="E485" s="28" t="n"/>
      <c r="F485" s="28" t="n"/>
    </row>
    <row r="486" ht="15" customHeight="1" s="19">
      <c r="A486" s="35" t="n"/>
      <c r="B486" s="28" t="n"/>
      <c r="C486" s="32">
        <f>IF(B486="","",IFERROR(INDEX(Inventario!$B$5:$B$200,MATCH(B486,Inventario!$A$5:$A$200,0)),"SKU no existe"))</f>
        <v/>
      </c>
      <c r="D486" s="28" t="n"/>
      <c r="E486" s="28" t="n"/>
      <c r="F486" s="28" t="n"/>
    </row>
    <row r="487" ht="15" customHeight="1" s="19">
      <c r="A487" s="35" t="n"/>
      <c r="B487" s="28" t="n"/>
      <c r="C487" s="32">
        <f>IF(B487="","",IFERROR(INDEX(Inventario!$B$5:$B$200,MATCH(B487,Inventario!$A$5:$A$200,0)),"SKU no existe"))</f>
        <v/>
      </c>
      <c r="D487" s="28" t="n"/>
      <c r="E487" s="28" t="n"/>
      <c r="F487" s="28" t="n"/>
    </row>
    <row r="488" ht="15" customHeight="1" s="19">
      <c r="A488" s="35" t="n"/>
      <c r="B488" s="28" t="n"/>
      <c r="C488" s="32">
        <f>IF(B488="","",IFERROR(INDEX(Inventario!$B$5:$B$200,MATCH(B488,Inventario!$A$5:$A$200,0)),"SKU no existe"))</f>
        <v/>
      </c>
      <c r="D488" s="28" t="n"/>
      <c r="E488" s="28" t="n"/>
      <c r="F488" s="28" t="n"/>
    </row>
    <row r="489" ht="15" customHeight="1" s="19">
      <c r="A489" s="35" t="n"/>
      <c r="B489" s="28" t="n"/>
      <c r="C489" s="32">
        <f>IF(B489="","",IFERROR(INDEX(Inventario!$B$5:$B$200,MATCH(B489,Inventario!$A$5:$A$200,0)),"SKU no existe"))</f>
        <v/>
      </c>
      <c r="D489" s="28" t="n"/>
      <c r="E489" s="28" t="n"/>
      <c r="F489" s="28" t="n"/>
    </row>
    <row r="490" ht="15" customHeight="1" s="19">
      <c r="A490" s="35" t="n"/>
      <c r="B490" s="28" t="n"/>
      <c r="C490" s="32">
        <f>IF(B490="","",IFERROR(INDEX(Inventario!$B$5:$B$200,MATCH(B490,Inventario!$A$5:$A$200,0)),"SKU no existe"))</f>
        <v/>
      </c>
      <c r="D490" s="28" t="n"/>
      <c r="E490" s="28" t="n"/>
      <c r="F490" s="28" t="n"/>
    </row>
    <row r="491" ht="15" customHeight="1" s="19">
      <c r="A491" s="35" t="n"/>
      <c r="B491" s="28" t="n"/>
      <c r="C491" s="32">
        <f>IF(B491="","",IFERROR(INDEX(Inventario!$B$5:$B$200,MATCH(B491,Inventario!$A$5:$A$200,0)),"SKU no existe"))</f>
        <v/>
      </c>
      <c r="D491" s="28" t="n"/>
      <c r="E491" s="28" t="n"/>
      <c r="F491" s="28" t="n"/>
    </row>
    <row r="492" ht="15" customHeight="1" s="19">
      <c r="A492" s="35" t="n"/>
      <c r="B492" s="28" t="n"/>
      <c r="C492" s="32">
        <f>IF(B492="","",IFERROR(INDEX(Inventario!$B$5:$B$200,MATCH(B492,Inventario!$A$5:$A$200,0)),"SKU no existe"))</f>
        <v/>
      </c>
      <c r="D492" s="28" t="n"/>
      <c r="E492" s="28" t="n"/>
      <c r="F492" s="28" t="n"/>
    </row>
    <row r="493" ht="15" customHeight="1" s="19">
      <c r="A493" s="35" t="n"/>
      <c r="B493" s="28" t="n"/>
      <c r="C493" s="32">
        <f>IF(B493="","",IFERROR(INDEX(Inventario!$B$5:$B$200,MATCH(B493,Inventario!$A$5:$A$200,0)),"SKU no existe"))</f>
        <v/>
      </c>
      <c r="D493" s="28" t="n"/>
      <c r="E493" s="28" t="n"/>
      <c r="F493" s="28" t="n"/>
    </row>
    <row r="494" ht="15" customHeight="1" s="19">
      <c r="A494" s="35" t="n"/>
      <c r="B494" s="28" t="n"/>
      <c r="C494" s="32">
        <f>IF(B494="","",IFERROR(INDEX(Inventario!$B$5:$B$200,MATCH(B494,Inventario!$A$5:$A$200,0)),"SKU no existe"))</f>
        <v/>
      </c>
      <c r="D494" s="28" t="n"/>
      <c r="E494" s="28" t="n"/>
      <c r="F494" s="28" t="n"/>
    </row>
    <row r="495" ht="15" customHeight="1" s="19">
      <c r="A495" s="35" t="n"/>
      <c r="B495" s="28" t="n"/>
      <c r="C495" s="32">
        <f>IF(B495="","",IFERROR(INDEX(Inventario!$B$5:$B$200,MATCH(B495,Inventario!$A$5:$A$200,0)),"SKU no existe"))</f>
        <v/>
      </c>
      <c r="D495" s="28" t="n"/>
      <c r="E495" s="28" t="n"/>
      <c r="F495" s="28" t="n"/>
    </row>
    <row r="496" ht="15" customHeight="1" s="19">
      <c r="A496" s="35" t="n"/>
      <c r="B496" s="28" t="n"/>
      <c r="C496" s="32">
        <f>IF(B496="","",IFERROR(INDEX(Inventario!$B$5:$B$200,MATCH(B496,Inventario!$A$5:$A$200,0)),"SKU no existe"))</f>
        <v/>
      </c>
      <c r="D496" s="28" t="n"/>
      <c r="E496" s="28" t="n"/>
      <c r="F496" s="28" t="n"/>
    </row>
    <row r="497" ht="15" customHeight="1" s="19">
      <c r="A497" s="35" t="n"/>
      <c r="B497" s="28" t="n"/>
      <c r="C497" s="32">
        <f>IF(B497="","",IFERROR(INDEX(Inventario!$B$5:$B$200,MATCH(B497,Inventario!$A$5:$A$200,0)),"SKU no existe"))</f>
        <v/>
      </c>
      <c r="D497" s="28" t="n"/>
      <c r="E497" s="28" t="n"/>
      <c r="F497" s="28" t="n"/>
    </row>
    <row r="498" ht="15" customHeight="1" s="19">
      <c r="A498" s="35" t="n"/>
      <c r="B498" s="28" t="n"/>
      <c r="C498" s="32">
        <f>IF(B498="","",IFERROR(INDEX(Inventario!$B$5:$B$200,MATCH(B498,Inventario!$A$5:$A$200,0)),"SKU no existe"))</f>
        <v/>
      </c>
      <c r="D498" s="28" t="n"/>
      <c r="E498" s="28" t="n"/>
      <c r="F498" s="28" t="n"/>
    </row>
    <row r="499" ht="15" customHeight="1" s="19">
      <c r="A499" s="35" t="n"/>
      <c r="B499" s="28" t="n"/>
      <c r="C499" s="32">
        <f>IF(B499="","",IFERROR(INDEX(Inventario!$B$5:$B$200,MATCH(B499,Inventario!$A$5:$A$200,0)),"SKU no existe"))</f>
        <v/>
      </c>
      <c r="D499" s="28" t="n"/>
      <c r="E499" s="28" t="n"/>
      <c r="F499" s="28" t="n"/>
    </row>
    <row r="500" ht="15" customHeight="1" s="19">
      <c r="A500" s="35" t="n"/>
      <c r="B500" s="28" t="n"/>
      <c r="C500" s="32">
        <f>IF(B500="","",IFERROR(INDEX(Inventario!$B$5:$B$200,MATCH(B500,Inventario!$A$5:$A$200,0)),"SKU no existe"))</f>
        <v/>
      </c>
      <c r="D500" s="28" t="n"/>
      <c r="E500" s="28" t="n"/>
      <c r="F500" s="28" t="n"/>
    </row>
    <row r="501" ht="15" customHeight="1" s="19">
      <c r="A501" s="35" t="n"/>
      <c r="B501" s="28" t="n"/>
      <c r="C501" s="32">
        <f>IF(B501="","",IFERROR(INDEX(Inventario!$B$5:$B$200,MATCH(B501,Inventario!$A$5:$A$200,0)),"SKU no existe"))</f>
        <v/>
      </c>
      <c r="D501" s="28" t="n"/>
      <c r="E501" s="28" t="n"/>
      <c r="F501" s="28" t="n"/>
    </row>
    <row r="502" ht="15" customHeight="1" s="19">
      <c r="A502" s="35" t="n"/>
      <c r="B502" s="28" t="n"/>
      <c r="C502" s="32">
        <f>IF(B502="","",IFERROR(INDEX(Inventario!$B$5:$B$200,MATCH(B502,Inventario!$A$5:$A$200,0)),"SKU no existe"))</f>
        <v/>
      </c>
      <c r="D502" s="28" t="n"/>
      <c r="E502" s="28" t="n"/>
      <c r="F502" s="28" t="n"/>
    </row>
    <row r="503" ht="15" customHeight="1" s="19">
      <c r="A503" s="35" t="n"/>
      <c r="B503" s="28" t="n"/>
      <c r="C503" s="32">
        <f>IF(B503="","",IFERROR(INDEX(Inventario!$B$5:$B$200,MATCH(B503,Inventario!$A$5:$A$200,0)),"SKU no existe"))</f>
        <v/>
      </c>
      <c r="D503" s="28" t="n"/>
      <c r="E503" s="28" t="n"/>
      <c r="F503" s="28" t="n"/>
    </row>
    <row r="504" ht="15" customHeight="1" s="19">
      <c r="A504" s="35" t="n"/>
      <c r="B504" s="28" t="n"/>
      <c r="C504" s="32">
        <f>IF(B504="","",IFERROR(INDEX(Inventario!$B$5:$B$200,MATCH(B504,Inventario!$A$5:$A$200,0)),"SKU no existe"))</f>
        <v/>
      </c>
      <c r="D504" s="28" t="n"/>
      <c r="E504" s="28" t="n"/>
      <c r="F504" s="28" t="n"/>
    </row>
    <row r="505" ht="15" customHeight="1" s="19">
      <c r="A505" s="35" t="n"/>
      <c r="B505" s="28" t="n"/>
      <c r="C505" s="32">
        <f>IF(B505="","",IFERROR(INDEX(Inventario!$B$5:$B$200,MATCH(B505,Inventario!$A$5:$A$200,0)),"SKU no existe"))</f>
        <v/>
      </c>
      <c r="D505" s="28" t="n"/>
      <c r="E505" s="28" t="n"/>
      <c r="F505" s="28" t="n"/>
    </row>
    <row r="506" ht="15" customHeight="1" s="19">
      <c r="A506" s="35" t="n"/>
      <c r="B506" s="28" t="n"/>
      <c r="C506" s="32">
        <f>IF(B506="","",IFERROR(INDEX(Inventario!$B$5:$B$200,MATCH(B506,Inventario!$A$5:$A$200,0)),"SKU no existe"))</f>
        <v/>
      </c>
      <c r="D506" s="28" t="n"/>
      <c r="E506" s="28" t="n"/>
      <c r="F506" s="28" t="n"/>
    </row>
    <row r="507" ht="15" customHeight="1" s="19">
      <c r="A507" s="35" t="n"/>
      <c r="B507" s="28" t="n"/>
      <c r="C507" s="32">
        <f>IF(B507="","",IFERROR(INDEX(Inventario!$B$5:$B$200,MATCH(B507,Inventario!$A$5:$A$200,0)),"SKU no existe"))</f>
        <v/>
      </c>
      <c r="D507" s="28" t="n"/>
      <c r="E507" s="28" t="n"/>
      <c r="F507" s="28" t="n"/>
    </row>
    <row r="508" ht="15" customHeight="1" s="19">
      <c r="A508" s="35" t="n"/>
      <c r="B508" s="28" t="n"/>
      <c r="C508" s="32">
        <f>IF(B508="","",IFERROR(INDEX(Inventario!$B$5:$B$200,MATCH(B508,Inventario!$A$5:$A$200,0)),"SKU no existe"))</f>
        <v/>
      </c>
      <c r="D508" s="28" t="n"/>
      <c r="E508" s="28" t="n"/>
      <c r="F508" s="28" t="n"/>
    </row>
    <row r="509" ht="15" customHeight="1" s="19">
      <c r="A509" s="35" t="n"/>
      <c r="B509" s="28" t="n"/>
      <c r="C509" s="32">
        <f>IF(B509="","",IFERROR(INDEX(Inventario!$B$5:$B$200,MATCH(B509,Inventario!$A$5:$A$200,0)),"SKU no existe"))</f>
        <v/>
      </c>
      <c r="D509" s="28" t="n"/>
      <c r="E509" s="28" t="n"/>
      <c r="F509" s="28" t="n"/>
    </row>
    <row r="510" ht="15" customHeight="1" s="19">
      <c r="A510" s="35" t="n"/>
      <c r="B510" s="28" t="n"/>
      <c r="C510" s="32">
        <f>IF(B510="","",IFERROR(INDEX(Inventario!$B$5:$B$200,MATCH(B510,Inventario!$A$5:$A$200,0)),"SKU no existe"))</f>
        <v/>
      </c>
      <c r="D510" s="28" t="n"/>
      <c r="E510" s="28" t="n"/>
      <c r="F510" s="28" t="n"/>
    </row>
    <row r="511" ht="15" customHeight="1" s="19">
      <c r="A511" s="35" t="n"/>
      <c r="B511" s="28" t="n"/>
      <c r="C511" s="32">
        <f>IF(B511="","",IFERROR(INDEX(Inventario!$B$5:$B$200,MATCH(B511,Inventario!$A$5:$A$200,0)),"SKU no existe"))</f>
        <v/>
      </c>
      <c r="D511" s="28" t="n"/>
      <c r="E511" s="28" t="n"/>
      <c r="F511" s="28" t="n"/>
    </row>
    <row r="512" ht="15" customHeight="1" s="19">
      <c r="A512" s="35" t="n"/>
      <c r="B512" s="28" t="n"/>
      <c r="C512" s="32">
        <f>IF(B512="","",IFERROR(INDEX(Inventario!$B$5:$B$200,MATCH(B512,Inventario!$A$5:$A$200,0)),"SKU no existe"))</f>
        <v/>
      </c>
      <c r="D512" s="28" t="n"/>
      <c r="E512" s="28" t="n"/>
      <c r="F512" s="28" t="n"/>
    </row>
    <row r="513" ht="15" customHeight="1" s="19">
      <c r="A513" s="35" t="n"/>
      <c r="B513" s="28" t="n"/>
      <c r="C513" s="32">
        <f>IF(B513="","",IFERROR(INDEX(Inventario!$B$5:$B$200,MATCH(B513,Inventario!$A$5:$A$200,0)),"SKU no existe"))</f>
        <v/>
      </c>
      <c r="D513" s="28" t="n"/>
      <c r="E513" s="28" t="n"/>
      <c r="F513" s="28" t="n"/>
    </row>
    <row r="514" ht="15" customHeight="1" s="19">
      <c r="A514" s="35" t="n"/>
      <c r="B514" s="28" t="n"/>
      <c r="C514" s="32">
        <f>IF(B514="","",IFERROR(INDEX(Inventario!$B$5:$B$200,MATCH(B514,Inventario!$A$5:$A$200,0)),"SKU no existe"))</f>
        <v/>
      </c>
      <c r="D514" s="28" t="n"/>
      <c r="E514" s="28" t="n"/>
      <c r="F514" s="28" t="n"/>
    </row>
    <row r="515" ht="15" customHeight="1" s="19">
      <c r="A515" s="35" t="n"/>
      <c r="B515" s="28" t="n"/>
      <c r="C515" s="32">
        <f>IF(B515="","",IFERROR(INDEX(Inventario!$B$5:$B$200,MATCH(B515,Inventario!$A$5:$A$200,0)),"SKU no existe"))</f>
        <v/>
      </c>
      <c r="D515" s="28" t="n"/>
      <c r="E515" s="28" t="n"/>
      <c r="F515" s="28" t="n"/>
    </row>
    <row r="516" ht="15" customHeight="1" s="19">
      <c r="A516" s="35" t="n"/>
      <c r="B516" s="28" t="n"/>
      <c r="C516" s="32">
        <f>IF(B516="","",IFERROR(INDEX(Inventario!$B$5:$B$200,MATCH(B516,Inventario!$A$5:$A$200,0)),"SKU no existe"))</f>
        <v/>
      </c>
      <c r="D516" s="28" t="n"/>
      <c r="E516" s="28" t="n"/>
      <c r="F516" s="28" t="n"/>
    </row>
    <row r="517" ht="15" customHeight="1" s="19">
      <c r="A517" s="35" t="n"/>
      <c r="B517" s="28" t="n"/>
      <c r="C517" s="32">
        <f>IF(B517="","",IFERROR(INDEX(Inventario!$B$5:$B$200,MATCH(B517,Inventario!$A$5:$A$200,0)),"SKU no existe"))</f>
        <v/>
      </c>
      <c r="D517" s="28" t="n"/>
      <c r="E517" s="28" t="n"/>
      <c r="F517" s="28" t="n"/>
    </row>
    <row r="518" ht="15" customHeight="1" s="19">
      <c r="A518" s="35" t="n"/>
      <c r="B518" s="28" t="n"/>
      <c r="C518" s="32">
        <f>IF(B518="","",IFERROR(INDEX(Inventario!$B$5:$B$200,MATCH(B518,Inventario!$A$5:$A$200,0)),"SKU no existe"))</f>
        <v/>
      </c>
      <c r="D518" s="28" t="n"/>
      <c r="E518" s="28" t="n"/>
      <c r="F518" s="28" t="n"/>
    </row>
    <row r="519" ht="15" customHeight="1" s="19">
      <c r="A519" s="35" t="n"/>
      <c r="B519" s="28" t="n"/>
      <c r="C519" s="32">
        <f>IF(B519="","",IFERROR(INDEX(Inventario!$B$5:$B$200,MATCH(B519,Inventario!$A$5:$A$200,0)),"SKU no existe"))</f>
        <v/>
      </c>
      <c r="D519" s="28" t="n"/>
      <c r="E519" s="28" t="n"/>
      <c r="F519" s="28" t="n"/>
    </row>
    <row r="520" ht="15" customHeight="1" s="19">
      <c r="A520" s="35" t="n"/>
      <c r="B520" s="28" t="n"/>
      <c r="C520" s="32">
        <f>IF(B520="","",IFERROR(INDEX(Inventario!$B$5:$B$200,MATCH(B520,Inventario!$A$5:$A$200,0)),"SKU no existe"))</f>
        <v/>
      </c>
      <c r="D520" s="28" t="n"/>
      <c r="E520" s="28" t="n"/>
      <c r="F520" s="28" t="n"/>
    </row>
    <row r="521" ht="15" customHeight="1" s="19">
      <c r="A521" s="35" t="n"/>
      <c r="B521" s="28" t="n"/>
      <c r="C521" s="32">
        <f>IF(B521="","",IFERROR(INDEX(Inventario!$B$5:$B$200,MATCH(B521,Inventario!$A$5:$A$200,0)),"SKU no existe"))</f>
        <v/>
      </c>
      <c r="D521" s="28" t="n"/>
      <c r="E521" s="28" t="n"/>
      <c r="F521" s="28" t="n"/>
    </row>
    <row r="522" ht="15" customHeight="1" s="19">
      <c r="A522" s="35" t="n"/>
      <c r="B522" s="28" t="n"/>
      <c r="C522" s="32">
        <f>IF(B522="","",IFERROR(INDEX(Inventario!$B$5:$B$200,MATCH(B522,Inventario!$A$5:$A$200,0)),"SKU no existe"))</f>
        <v/>
      </c>
      <c r="D522" s="28" t="n"/>
      <c r="E522" s="28" t="n"/>
      <c r="F522" s="28" t="n"/>
    </row>
    <row r="523" ht="15" customHeight="1" s="19">
      <c r="A523" s="35" t="n"/>
      <c r="B523" s="28" t="n"/>
      <c r="C523" s="32">
        <f>IF(B523="","",IFERROR(INDEX(Inventario!$B$5:$B$200,MATCH(B523,Inventario!$A$5:$A$200,0)),"SKU no existe"))</f>
        <v/>
      </c>
      <c r="D523" s="28" t="n"/>
      <c r="E523" s="28" t="n"/>
      <c r="F523" s="28" t="n"/>
    </row>
    <row r="524" ht="15" customHeight="1" s="19">
      <c r="A524" s="35" t="n"/>
      <c r="B524" s="28" t="n"/>
      <c r="C524" s="32">
        <f>IF(B524="","",IFERROR(INDEX(Inventario!$B$5:$B$200,MATCH(B524,Inventario!$A$5:$A$200,0)),"SKU no existe"))</f>
        <v/>
      </c>
      <c r="D524" s="28" t="n"/>
      <c r="E524" s="28" t="n"/>
      <c r="F524" s="28" t="n"/>
    </row>
    <row r="525" ht="15" customHeight="1" s="19">
      <c r="A525" s="35" t="n"/>
      <c r="B525" s="28" t="n"/>
      <c r="C525" s="32">
        <f>IF(B525="","",IFERROR(INDEX(Inventario!$B$5:$B$200,MATCH(B525,Inventario!$A$5:$A$200,0)),"SKU no existe"))</f>
        <v/>
      </c>
      <c r="D525" s="28" t="n"/>
      <c r="E525" s="28" t="n"/>
      <c r="F525" s="28" t="n"/>
    </row>
    <row r="526" ht="15" customHeight="1" s="19">
      <c r="A526" s="35" t="n"/>
      <c r="B526" s="28" t="n"/>
      <c r="C526" s="32">
        <f>IF(B526="","",IFERROR(INDEX(Inventario!$B$5:$B$200,MATCH(B526,Inventario!$A$5:$A$200,0)),"SKU no existe"))</f>
        <v/>
      </c>
      <c r="D526" s="28" t="n"/>
      <c r="E526" s="28" t="n"/>
      <c r="F526" s="28" t="n"/>
    </row>
    <row r="527" ht="15" customHeight="1" s="19">
      <c r="A527" s="35" t="n"/>
      <c r="B527" s="28" t="n"/>
      <c r="C527" s="32">
        <f>IF(B527="","",IFERROR(INDEX(Inventario!$B$5:$B$200,MATCH(B527,Inventario!$A$5:$A$200,0)),"SKU no existe"))</f>
        <v/>
      </c>
      <c r="D527" s="28" t="n"/>
      <c r="E527" s="28" t="n"/>
      <c r="F527" s="28" t="n"/>
    </row>
    <row r="528" ht="15" customHeight="1" s="19">
      <c r="A528" s="35" t="n"/>
      <c r="B528" s="28" t="n"/>
      <c r="C528" s="32">
        <f>IF(B528="","",IFERROR(INDEX(Inventario!$B$5:$B$200,MATCH(B528,Inventario!$A$5:$A$200,0)),"SKU no existe"))</f>
        <v/>
      </c>
      <c r="D528" s="28" t="n"/>
      <c r="E528" s="28" t="n"/>
      <c r="F528" s="28" t="n"/>
    </row>
    <row r="529" ht="15" customHeight="1" s="19">
      <c r="A529" s="35" t="n"/>
      <c r="B529" s="28" t="n"/>
      <c r="C529" s="32">
        <f>IF(B529="","",IFERROR(INDEX(Inventario!$B$5:$B$200,MATCH(B529,Inventario!$A$5:$A$200,0)),"SKU no existe"))</f>
        <v/>
      </c>
      <c r="D529" s="28" t="n"/>
      <c r="E529" s="28" t="n"/>
      <c r="F529" s="28" t="n"/>
    </row>
    <row r="530" ht="15" customHeight="1" s="19">
      <c r="A530" s="35" t="n"/>
      <c r="B530" s="28" t="n"/>
      <c r="C530" s="32">
        <f>IF(B530="","",IFERROR(INDEX(Inventario!$B$5:$B$200,MATCH(B530,Inventario!$A$5:$A$200,0)),"SKU no existe"))</f>
        <v/>
      </c>
      <c r="D530" s="28" t="n"/>
      <c r="E530" s="28" t="n"/>
      <c r="F530" s="28" t="n"/>
    </row>
    <row r="531" ht="15" customHeight="1" s="19">
      <c r="A531" s="35" t="n"/>
      <c r="B531" s="28" t="n"/>
      <c r="C531" s="32">
        <f>IF(B531="","",IFERROR(INDEX(Inventario!$B$5:$B$200,MATCH(B531,Inventario!$A$5:$A$200,0)),"SKU no existe"))</f>
        <v/>
      </c>
      <c r="D531" s="28" t="n"/>
      <c r="E531" s="28" t="n"/>
      <c r="F531" s="28" t="n"/>
    </row>
    <row r="532" ht="15" customHeight="1" s="19">
      <c r="A532" s="35" t="n"/>
      <c r="B532" s="28" t="n"/>
      <c r="C532" s="32">
        <f>IF(B532="","",IFERROR(INDEX(Inventario!$B$5:$B$200,MATCH(B532,Inventario!$A$5:$A$200,0)),"SKU no existe"))</f>
        <v/>
      </c>
      <c r="D532" s="28" t="n"/>
      <c r="E532" s="28" t="n"/>
      <c r="F532" s="28" t="n"/>
    </row>
    <row r="533" ht="15" customHeight="1" s="19">
      <c r="A533" s="35" t="n"/>
      <c r="B533" s="28" t="n"/>
      <c r="C533" s="32">
        <f>IF(B533="","",IFERROR(INDEX(Inventario!$B$5:$B$200,MATCH(B533,Inventario!$A$5:$A$200,0)),"SKU no existe"))</f>
        <v/>
      </c>
      <c r="D533" s="28" t="n"/>
      <c r="E533" s="28" t="n"/>
      <c r="F533" s="28" t="n"/>
    </row>
    <row r="534" ht="15" customHeight="1" s="19">
      <c r="A534" s="35" t="n"/>
      <c r="B534" s="28" t="n"/>
      <c r="C534" s="32">
        <f>IF(B534="","",IFERROR(INDEX(Inventario!$B$5:$B$200,MATCH(B534,Inventario!$A$5:$A$200,0)),"SKU no existe"))</f>
        <v/>
      </c>
      <c r="D534" s="28" t="n"/>
      <c r="E534" s="28" t="n"/>
      <c r="F534" s="28" t="n"/>
    </row>
    <row r="535" ht="15" customHeight="1" s="19">
      <c r="A535" s="35" t="n"/>
      <c r="B535" s="28" t="n"/>
      <c r="C535" s="32">
        <f>IF(B535="","",IFERROR(INDEX(Inventario!$B$5:$B$200,MATCH(B535,Inventario!$A$5:$A$200,0)),"SKU no existe"))</f>
        <v/>
      </c>
      <c r="D535" s="28" t="n"/>
      <c r="E535" s="28" t="n"/>
      <c r="F535" s="28" t="n"/>
    </row>
    <row r="536" ht="15" customHeight="1" s="19">
      <c r="A536" s="35" t="n"/>
      <c r="B536" s="28" t="n"/>
      <c r="C536" s="32">
        <f>IF(B536="","",IFERROR(INDEX(Inventario!$B$5:$B$200,MATCH(B536,Inventario!$A$5:$A$200,0)),"SKU no existe"))</f>
        <v/>
      </c>
      <c r="D536" s="28" t="n"/>
      <c r="E536" s="28" t="n"/>
      <c r="F536" s="28" t="n"/>
    </row>
    <row r="537" ht="15" customHeight="1" s="19">
      <c r="A537" s="35" t="n"/>
      <c r="B537" s="28" t="n"/>
      <c r="C537" s="32">
        <f>IF(B537="","",IFERROR(INDEX(Inventario!$B$5:$B$200,MATCH(B537,Inventario!$A$5:$A$200,0)),"SKU no existe"))</f>
        <v/>
      </c>
      <c r="D537" s="28" t="n"/>
      <c r="E537" s="28" t="n"/>
      <c r="F537" s="28" t="n"/>
    </row>
    <row r="538" ht="15" customHeight="1" s="19">
      <c r="A538" s="35" t="n"/>
      <c r="B538" s="28" t="n"/>
      <c r="C538" s="32">
        <f>IF(B538="","",IFERROR(INDEX(Inventario!$B$5:$B$200,MATCH(B538,Inventario!$A$5:$A$200,0)),"SKU no existe"))</f>
        <v/>
      </c>
      <c r="D538" s="28" t="n"/>
      <c r="E538" s="28" t="n"/>
      <c r="F538" s="28" t="n"/>
    </row>
    <row r="539" ht="15" customHeight="1" s="19">
      <c r="A539" s="35" t="n"/>
      <c r="B539" s="28" t="n"/>
      <c r="C539" s="32">
        <f>IF(B539="","",IFERROR(INDEX(Inventario!$B$5:$B$200,MATCH(B539,Inventario!$A$5:$A$200,0)),"SKU no existe"))</f>
        <v/>
      </c>
      <c r="D539" s="28" t="n"/>
      <c r="E539" s="28" t="n"/>
      <c r="F539" s="28" t="n"/>
    </row>
    <row r="540" ht="15" customHeight="1" s="19">
      <c r="A540" s="35" t="n"/>
      <c r="B540" s="28" t="n"/>
      <c r="C540" s="32">
        <f>IF(B540="","",IFERROR(INDEX(Inventario!$B$5:$B$200,MATCH(B540,Inventario!$A$5:$A$200,0)),"SKU no existe"))</f>
        <v/>
      </c>
      <c r="D540" s="28" t="n"/>
      <c r="E540" s="28" t="n"/>
      <c r="F540" s="28" t="n"/>
    </row>
    <row r="541" ht="15" customHeight="1" s="19">
      <c r="A541" s="35" t="n"/>
      <c r="B541" s="28" t="n"/>
      <c r="C541" s="32">
        <f>IF(B541="","",IFERROR(INDEX(Inventario!$B$5:$B$200,MATCH(B541,Inventario!$A$5:$A$200,0)),"SKU no existe"))</f>
        <v/>
      </c>
      <c r="D541" s="28" t="n"/>
      <c r="E541" s="28" t="n"/>
      <c r="F541" s="28" t="n"/>
    </row>
    <row r="542" ht="15" customHeight="1" s="19">
      <c r="A542" s="35" t="n"/>
      <c r="B542" s="28" t="n"/>
      <c r="C542" s="32">
        <f>IF(B542="","",IFERROR(INDEX(Inventario!$B$5:$B$200,MATCH(B542,Inventario!$A$5:$A$200,0)),"SKU no existe"))</f>
        <v/>
      </c>
      <c r="D542" s="28" t="n"/>
      <c r="E542" s="28" t="n"/>
      <c r="F542" s="28" t="n"/>
    </row>
    <row r="543" ht="15" customHeight="1" s="19">
      <c r="A543" s="35" t="n"/>
      <c r="B543" s="28" t="n"/>
      <c r="C543" s="32">
        <f>IF(B543="","",IFERROR(INDEX(Inventario!$B$5:$B$200,MATCH(B543,Inventario!$A$5:$A$200,0)),"SKU no existe"))</f>
        <v/>
      </c>
      <c r="D543" s="28" t="n"/>
      <c r="E543" s="28" t="n"/>
      <c r="F543" s="28" t="n"/>
    </row>
    <row r="544" ht="15" customHeight="1" s="19">
      <c r="A544" s="35" t="n"/>
      <c r="B544" s="28" t="n"/>
      <c r="C544" s="32">
        <f>IF(B544="","",IFERROR(INDEX(Inventario!$B$5:$B$200,MATCH(B544,Inventario!$A$5:$A$200,0)),"SKU no existe"))</f>
        <v/>
      </c>
      <c r="D544" s="28" t="n"/>
      <c r="E544" s="28" t="n"/>
      <c r="F544" s="28" t="n"/>
    </row>
    <row r="545" ht="15" customHeight="1" s="19">
      <c r="A545" s="35" t="n"/>
      <c r="B545" s="28" t="n"/>
      <c r="C545" s="32">
        <f>IF(B545="","",IFERROR(INDEX(Inventario!$B$5:$B$200,MATCH(B545,Inventario!$A$5:$A$200,0)),"SKU no existe"))</f>
        <v/>
      </c>
      <c r="D545" s="28" t="n"/>
      <c r="E545" s="28" t="n"/>
      <c r="F545" s="28" t="n"/>
    </row>
    <row r="546" ht="15" customHeight="1" s="19">
      <c r="A546" s="35" t="n"/>
      <c r="B546" s="28" t="n"/>
      <c r="C546" s="32">
        <f>IF(B546="","",IFERROR(INDEX(Inventario!$B$5:$B$200,MATCH(B546,Inventario!$A$5:$A$200,0)),"SKU no existe"))</f>
        <v/>
      </c>
      <c r="D546" s="28" t="n"/>
      <c r="E546" s="28" t="n"/>
      <c r="F546" s="28" t="n"/>
    </row>
    <row r="547" ht="15" customHeight="1" s="19">
      <c r="A547" s="35" t="n"/>
      <c r="B547" s="28" t="n"/>
      <c r="C547" s="32">
        <f>IF(B547="","",IFERROR(INDEX(Inventario!$B$5:$B$200,MATCH(B547,Inventario!$A$5:$A$200,0)),"SKU no existe"))</f>
        <v/>
      </c>
      <c r="D547" s="28" t="n"/>
      <c r="E547" s="28" t="n"/>
      <c r="F547" s="28" t="n"/>
    </row>
    <row r="548" ht="15" customHeight="1" s="19">
      <c r="A548" s="35" t="n"/>
      <c r="B548" s="28" t="n"/>
      <c r="C548" s="32">
        <f>IF(B548="","",IFERROR(INDEX(Inventario!$B$5:$B$200,MATCH(B548,Inventario!$A$5:$A$200,0)),"SKU no existe"))</f>
        <v/>
      </c>
      <c r="D548" s="28" t="n"/>
      <c r="E548" s="28" t="n"/>
      <c r="F548" s="28" t="n"/>
    </row>
    <row r="549" ht="15" customHeight="1" s="19">
      <c r="A549" s="35" t="n"/>
      <c r="B549" s="28" t="n"/>
      <c r="C549" s="32">
        <f>IF(B549="","",IFERROR(INDEX(Inventario!$B$5:$B$200,MATCH(B549,Inventario!$A$5:$A$200,0)),"SKU no existe"))</f>
        <v/>
      </c>
      <c r="D549" s="28" t="n"/>
      <c r="E549" s="28" t="n"/>
      <c r="F549" s="28" t="n"/>
    </row>
    <row r="550" ht="15" customHeight="1" s="19">
      <c r="A550" s="35" t="n"/>
      <c r="B550" s="28" t="n"/>
      <c r="C550" s="32">
        <f>IF(B550="","",IFERROR(INDEX(Inventario!$B$5:$B$200,MATCH(B550,Inventario!$A$5:$A$200,0)),"SKU no existe"))</f>
        <v/>
      </c>
      <c r="D550" s="28" t="n"/>
      <c r="E550" s="28" t="n"/>
      <c r="F550" s="28" t="n"/>
    </row>
    <row r="551" ht="15" customHeight="1" s="19">
      <c r="A551" s="35" t="n"/>
      <c r="B551" s="28" t="n"/>
      <c r="C551" s="32">
        <f>IF(B551="","",IFERROR(INDEX(Inventario!$B$5:$B$200,MATCH(B551,Inventario!$A$5:$A$200,0)),"SKU no existe"))</f>
        <v/>
      </c>
      <c r="D551" s="28" t="n"/>
      <c r="E551" s="28" t="n"/>
      <c r="F551" s="28" t="n"/>
    </row>
    <row r="552" ht="15" customHeight="1" s="19">
      <c r="A552" s="35" t="n"/>
      <c r="B552" s="28" t="n"/>
      <c r="C552" s="32">
        <f>IF(B552="","",IFERROR(INDEX(Inventario!$B$5:$B$200,MATCH(B552,Inventario!$A$5:$A$200,0)),"SKU no existe"))</f>
        <v/>
      </c>
      <c r="D552" s="28" t="n"/>
      <c r="E552" s="28" t="n"/>
      <c r="F552" s="28" t="n"/>
    </row>
    <row r="553" ht="15" customHeight="1" s="19">
      <c r="A553" s="35" t="n"/>
      <c r="B553" s="28" t="n"/>
      <c r="C553" s="32">
        <f>IF(B553="","",IFERROR(INDEX(Inventario!$B$5:$B$200,MATCH(B553,Inventario!$A$5:$A$200,0)),"SKU no existe"))</f>
        <v/>
      </c>
      <c r="D553" s="28" t="n"/>
      <c r="E553" s="28" t="n"/>
      <c r="F553" s="28" t="n"/>
    </row>
    <row r="554" ht="15" customHeight="1" s="19">
      <c r="A554" s="35" t="n"/>
      <c r="B554" s="28" t="n"/>
      <c r="C554" s="32">
        <f>IF(B554="","",IFERROR(INDEX(Inventario!$B$5:$B$200,MATCH(B554,Inventario!$A$5:$A$200,0)),"SKU no existe"))</f>
        <v/>
      </c>
      <c r="D554" s="28" t="n"/>
      <c r="E554" s="28" t="n"/>
      <c r="F554" s="28" t="n"/>
    </row>
    <row r="555" ht="15" customHeight="1" s="19">
      <c r="A555" s="35" t="n"/>
      <c r="B555" s="28" t="n"/>
      <c r="C555" s="32">
        <f>IF(B555="","",IFERROR(INDEX(Inventario!$B$5:$B$200,MATCH(B555,Inventario!$A$5:$A$200,0)),"SKU no existe"))</f>
        <v/>
      </c>
      <c r="D555" s="28" t="n"/>
      <c r="E555" s="28" t="n"/>
      <c r="F555" s="28" t="n"/>
    </row>
    <row r="556" ht="15" customHeight="1" s="19">
      <c r="A556" s="35" t="n"/>
      <c r="B556" s="28" t="n"/>
      <c r="C556" s="32">
        <f>IF(B556="","",IFERROR(INDEX(Inventario!$B$5:$B$200,MATCH(B556,Inventario!$A$5:$A$200,0)),"SKU no existe"))</f>
        <v/>
      </c>
      <c r="D556" s="28" t="n"/>
      <c r="E556" s="28" t="n"/>
      <c r="F556" s="28" t="n"/>
    </row>
    <row r="557" ht="15" customHeight="1" s="19">
      <c r="A557" s="35" t="n"/>
      <c r="B557" s="28" t="n"/>
      <c r="C557" s="32">
        <f>IF(B557="","",IFERROR(INDEX(Inventario!$B$5:$B$200,MATCH(B557,Inventario!$A$5:$A$200,0)),"SKU no existe"))</f>
        <v/>
      </c>
      <c r="D557" s="28" t="n"/>
      <c r="E557" s="28" t="n"/>
      <c r="F557" s="28" t="n"/>
    </row>
    <row r="558" ht="15" customHeight="1" s="19">
      <c r="A558" s="35" t="n"/>
      <c r="B558" s="28" t="n"/>
      <c r="C558" s="32">
        <f>IF(B558="","",IFERROR(INDEX(Inventario!$B$5:$B$200,MATCH(B558,Inventario!$A$5:$A$200,0)),"SKU no existe"))</f>
        <v/>
      </c>
      <c r="D558" s="28" t="n"/>
      <c r="E558" s="28" t="n"/>
      <c r="F558" s="28" t="n"/>
    </row>
    <row r="559" ht="15" customHeight="1" s="19">
      <c r="A559" s="35" t="n"/>
      <c r="B559" s="28" t="n"/>
      <c r="C559" s="32">
        <f>IF(B559="","",IFERROR(INDEX(Inventario!$B$5:$B$200,MATCH(B559,Inventario!$A$5:$A$200,0)),"SKU no existe"))</f>
        <v/>
      </c>
      <c r="D559" s="28" t="n"/>
      <c r="E559" s="28" t="n"/>
      <c r="F559" s="28" t="n"/>
    </row>
    <row r="560" ht="15" customHeight="1" s="19">
      <c r="A560" s="35" t="n"/>
      <c r="B560" s="28" t="n"/>
      <c r="C560" s="32">
        <f>IF(B560="","",IFERROR(INDEX(Inventario!$B$5:$B$200,MATCH(B560,Inventario!$A$5:$A$200,0)),"SKU no existe"))</f>
        <v/>
      </c>
      <c r="D560" s="28" t="n"/>
      <c r="E560" s="28" t="n"/>
      <c r="F560" s="28" t="n"/>
    </row>
    <row r="561" ht="15" customHeight="1" s="19">
      <c r="A561" s="35" t="n"/>
      <c r="B561" s="28" t="n"/>
      <c r="C561" s="32">
        <f>IF(B561="","",IFERROR(INDEX(Inventario!$B$5:$B$200,MATCH(B561,Inventario!$A$5:$A$200,0)),"SKU no existe"))</f>
        <v/>
      </c>
      <c r="D561" s="28" t="n"/>
      <c r="E561" s="28" t="n"/>
      <c r="F561" s="28" t="n"/>
    </row>
    <row r="562" ht="15" customHeight="1" s="19">
      <c r="A562" s="35" t="n"/>
      <c r="B562" s="28" t="n"/>
      <c r="C562" s="32">
        <f>IF(B562="","",IFERROR(INDEX(Inventario!$B$5:$B$200,MATCH(B562,Inventario!$A$5:$A$200,0)),"SKU no existe"))</f>
        <v/>
      </c>
      <c r="D562" s="28" t="n"/>
      <c r="E562" s="28" t="n"/>
      <c r="F562" s="28" t="n"/>
    </row>
    <row r="563" ht="15" customHeight="1" s="19">
      <c r="A563" s="35" t="n"/>
      <c r="B563" s="28" t="n"/>
      <c r="C563" s="32">
        <f>IF(B563="","",IFERROR(INDEX(Inventario!$B$5:$B$200,MATCH(B563,Inventario!$A$5:$A$200,0)),"SKU no existe"))</f>
        <v/>
      </c>
      <c r="D563" s="28" t="n"/>
      <c r="E563" s="28" t="n"/>
      <c r="F563" s="28" t="n"/>
    </row>
    <row r="564" ht="15" customHeight="1" s="19">
      <c r="A564" s="35" t="n"/>
      <c r="B564" s="28" t="n"/>
      <c r="C564" s="32">
        <f>IF(B564="","",IFERROR(INDEX(Inventario!$B$5:$B$200,MATCH(B564,Inventario!$A$5:$A$200,0)),"SKU no existe"))</f>
        <v/>
      </c>
      <c r="D564" s="28" t="n"/>
      <c r="E564" s="28" t="n"/>
      <c r="F564" s="28" t="n"/>
    </row>
    <row r="565" ht="15" customHeight="1" s="19">
      <c r="A565" s="35" t="n"/>
      <c r="B565" s="28" t="n"/>
      <c r="C565" s="32">
        <f>IF(B565="","",IFERROR(INDEX(Inventario!$B$5:$B$200,MATCH(B565,Inventario!$A$5:$A$200,0)),"SKU no existe"))</f>
        <v/>
      </c>
      <c r="D565" s="28" t="n"/>
      <c r="E565" s="28" t="n"/>
      <c r="F565" s="28" t="n"/>
    </row>
    <row r="566" ht="15" customHeight="1" s="19">
      <c r="A566" s="35" t="n"/>
      <c r="B566" s="28" t="n"/>
      <c r="C566" s="32">
        <f>IF(B566="","",IFERROR(INDEX(Inventario!$B$5:$B$200,MATCH(B566,Inventario!$A$5:$A$200,0)),"SKU no existe"))</f>
        <v/>
      </c>
      <c r="D566" s="28" t="n"/>
      <c r="E566" s="28" t="n"/>
      <c r="F566" s="28" t="n"/>
    </row>
    <row r="567" ht="15" customHeight="1" s="19">
      <c r="A567" s="35" t="n"/>
      <c r="B567" s="28" t="n"/>
      <c r="C567" s="32">
        <f>IF(B567="","",IFERROR(INDEX(Inventario!$B$5:$B$200,MATCH(B567,Inventario!$A$5:$A$200,0)),"SKU no existe"))</f>
        <v/>
      </c>
      <c r="D567" s="28" t="n"/>
      <c r="E567" s="28" t="n"/>
      <c r="F567" s="28" t="n"/>
    </row>
    <row r="568" ht="15" customHeight="1" s="19">
      <c r="A568" s="35" t="n"/>
      <c r="B568" s="28" t="n"/>
      <c r="C568" s="32">
        <f>IF(B568="","",IFERROR(INDEX(Inventario!$B$5:$B$200,MATCH(B568,Inventario!$A$5:$A$200,0)),"SKU no existe"))</f>
        <v/>
      </c>
      <c r="D568" s="28" t="n"/>
      <c r="E568" s="28" t="n"/>
      <c r="F568" s="28" t="n"/>
    </row>
    <row r="569" ht="15" customHeight="1" s="19">
      <c r="A569" s="35" t="n"/>
      <c r="B569" s="28" t="n"/>
      <c r="C569" s="32">
        <f>IF(B569="","",IFERROR(INDEX(Inventario!$B$5:$B$200,MATCH(B569,Inventario!$A$5:$A$200,0)),"SKU no existe"))</f>
        <v/>
      </c>
      <c r="D569" s="28" t="n"/>
      <c r="E569" s="28" t="n"/>
      <c r="F569" s="28" t="n"/>
    </row>
    <row r="570" ht="15" customHeight="1" s="19">
      <c r="A570" s="35" t="n"/>
      <c r="B570" s="28" t="n"/>
      <c r="C570" s="32">
        <f>IF(B570="","",IFERROR(INDEX(Inventario!$B$5:$B$200,MATCH(B570,Inventario!$A$5:$A$200,0)),"SKU no existe"))</f>
        <v/>
      </c>
      <c r="D570" s="28" t="n"/>
      <c r="E570" s="28" t="n"/>
      <c r="F570" s="28" t="n"/>
    </row>
    <row r="571" ht="15" customHeight="1" s="19">
      <c r="A571" s="35" t="n"/>
      <c r="B571" s="28" t="n"/>
      <c r="C571" s="32">
        <f>IF(B571="","",IFERROR(INDEX(Inventario!$B$5:$B$200,MATCH(B571,Inventario!$A$5:$A$200,0)),"SKU no existe"))</f>
        <v/>
      </c>
      <c r="D571" s="28" t="n"/>
      <c r="E571" s="28" t="n"/>
      <c r="F571" s="28" t="n"/>
    </row>
    <row r="572" ht="15" customHeight="1" s="19">
      <c r="A572" s="35" t="n"/>
      <c r="B572" s="28" t="n"/>
      <c r="C572" s="32">
        <f>IF(B572="","",IFERROR(INDEX(Inventario!$B$5:$B$200,MATCH(B572,Inventario!$A$5:$A$200,0)),"SKU no existe"))</f>
        <v/>
      </c>
      <c r="D572" s="28" t="n"/>
      <c r="E572" s="28" t="n"/>
      <c r="F572" s="28" t="n"/>
    </row>
    <row r="573" ht="15" customHeight="1" s="19">
      <c r="A573" s="35" t="n"/>
      <c r="B573" s="28" t="n"/>
      <c r="C573" s="32">
        <f>IF(B573="","",IFERROR(INDEX(Inventario!$B$5:$B$200,MATCH(B573,Inventario!$A$5:$A$200,0)),"SKU no existe"))</f>
        <v/>
      </c>
      <c r="D573" s="28" t="n"/>
      <c r="E573" s="28" t="n"/>
      <c r="F573" s="28" t="n"/>
    </row>
    <row r="574" ht="15" customHeight="1" s="19">
      <c r="A574" s="35" t="n"/>
      <c r="B574" s="28" t="n"/>
      <c r="C574" s="32">
        <f>IF(B574="","",IFERROR(INDEX(Inventario!$B$5:$B$200,MATCH(B574,Inventario!$A$5:$A$200,0)),"SKU no existe"))</f>
        <v/>
      </c>
      <c r="D574" s="28" t="n"/>
      <c r="E574" s="28" t="n"/>
      <c r="F574" s="28" t="n"/>
    </row>
    <row r="575" ht="15" customHeight="1" s="19">
      <c r="A575" s="35" t="n"/>
      <c r="B575" s="28" t="n"/>
      <c r="C575" s="32">
        <f>IF(B575="","",IFERROR(INDEX(Inventario!$B$5:$B$200,MATCH(B575,Inventario!$A$5:$A$200,0)),"SKU no existe"))</f>
        <v/>
      </c>
      <c r="D575" s="28" t="n"/>
      <c r="E575" s="28" t="n"/>
      <c r="F575" s="28" t="n"/>
    </row>
    <row r="576" ht="15" customHeight="1" s="19">
      <c r="A576" s="35" t="n"/>
      <c r="B576" s="28" t="n"/>
      <c r="C576" s="32">
        <f>IF(B576="","",IFERROR(INDEX(Inventario!$B$5:$B$200,MATCH(B576,Inventario!$A$5:$A$200,0)),"SKU no existe"))</f>
        <v/>
      </c>
      <c r="D576" s="28" t="n"/>
      <c r="E576" s="28" t="n"/>
      <c r="F576" s="28" t="n"/>
    </row>
    <row r="577" ht="15" customHeight="1" s="19">
      <c r="A577" s="35" t="n"/>
      <c r="B577" s="28" t="n"/>
      <c r="C577" s="32">
        <f>IF(B577="","",IFERROR(INDEX(Inventario!$B$5:$B$200,MATCH(B577,Inventario!$A$5:$A$200,0)),"SKU no existe"))</f>
        <v/>
      </c>
      <c r="D577" s="28" t="n"/>
      <c r="E577" s="28" t="n"/>
      <c r="F577" s="28" t="n"/>
    </row>
    <row r="578" ht="15" customHeight="1" s="19">
      <c r="A578" s="35" t="n"/>
      <c r="B578" s="28" t="n"/>
      <c r="C578" s="32">
        <f>IF(B578="","",IFERROR(INDEX(Inventario!$B$5:$B$200,MATCH(B578,Inventario!$A$5:$A$200,0)),"SKU no existe"))</f>
        <v/>
      </c>
      <c r="D578" s="28" t="n"/>
      <c r="E578" s="28" t="n"/>
      <c r="F578" s="28" t="n"/>
    </row>
    <row r="579" ht="15" customHeight="1" s="19">
      <c r="A579" s="35" t="n"/>
      <c r="B579" s="28" t="n"/>
      <c r="C579" s="32">
        <f>IF(B579="","",IFERROR(INDEX(Inventario!$B$5:$B$200,MATCH(B579,Inventario!$A$5:$A$200,0)),"SKU no existe"))</f>
        <v/>
      </c>
      <c r="D579" s="28" t="n"/>
      <c r="E579" s="28" t="n"/>
      <c r="F579" s="28" t="n"/>
    </row>
    <row r="580" ht="15" customHeight="1" s="19">
      <c r="A580" s="35" t="n"/>
      <c r="B580" s="28" t="n"/>
      <c r="C580" s="32">
        <f>IF(B580="","",IFERROR(INDEX(Inventario!$B$5:$B$200,MATCH(B580,Inventario!$A$5:$A$200,0)),"SKU no existe"))</f>
        <v/>
      </c>
      <c r="D580" s="28" t="n"/>
      <c r="E580" s="28" t="n"/>
      <c r="F580" s="28" t="n"/>
    </row>
    <row r="581" ht="15" customHeight="1" s="19">
      <c r="A581" s="35" t="n"/>
      <c r="B581" s="28" t="n"/>
      <c r="C581" s="32">
        <f>IF(B581="","",IFERROR(INDEX(Inventario!$B$5:$B$200,MATCH(B581,Inventario!$A$5:$A$200,0)),"SKU no existe"))</f>
        <v/>
      </c>
      <c r="D581" s="28" t="n"/>
      <c r="E581" s="28" t="n"/>
      <c r="F581" s="28" t="n"/>
    </row>
    <row r="582" ht="15" customHeight="1" s="19">
      <c r="A582" s="35" t="n"/>
      <c r="B582" s="28" t="n"/>
      <c r="C582" s="32">
        <f>IF(B582="","",IFERROR(INDEX(Inventario!$B$5:$B$200,MATCH(B582,Inventario!$A$5:$A$200,0)),"SKU no existe"))</f>
        <v/>
      </c>
      <c r="D582" s="28" t="n"/>
      <c r="E582" s="28" t="n"/>
      <c r="F582" s="28" t="n"/>
    </row>
    <row r="583" ht="15" customHeight="1" s="19">
      <c r="A583" s="35" t="n"/>
      <c r="B583" s="28" t="n"/>
      <c r="C583" s="32">
        <f>IF(B583="","",IFERROR(INDEX(Inventario!$B$5:$B$200,MATCH(B583,Inventario!$A$5:$A$200,0)),"SKU no existe"))</f>
        <v/>
      </c>
      <c r="D583" s="28" t="n"/>
      <c r="E583" s="28" t="n"/>
      <c r="F583" s="28" t="n"/>
    </row>
    <row r="584" ht="15" customHeight="1" s="19">
      <c r="A584" s="35" t="n"/>
      <c r="B584" s="28" t="n"/>
      <c r="C584" s="32">
        <f>IF(B584="","",IFERROR(INDEX(Inventario!$B$5:$B$200,MATCH(B584,Inventario!$A$5:$A$200,0)),"SKU no existe"))</f>
        <v/>
      </c>
      <c r="D584" s="28" t="n"/>
      <c r="E584" s="28" t="n"/>
      <c r="F584" s="28" t="n"/>
    </row>
    <row r="585" ht="15" customHeight="1" s="19">
      <c r="A585" s="35" t="n"/>
      <c r="B585" s="28" t="n"/>
      <c r="C585" s="32">
        <f>IF(B585="","",IFERROR(INDEX(Inventario!$B$5:$B$200,MATCH(B585,Inventario!$A$5:$A$200,0)),"SKU no existe"))</f>
        <v/>
      </c>
      <c r="D585" s="28" t="n"/>
      <c r="E585" s="28" t="n"/>
      <c r="F585" s="28" t="n"/>
    </row>
    <row r="586" ht="15" customHeight="1" s="19">
      <c r="A586" s="35" t="n"/>
      <c r="B586" s="28" t="n"/>
      <c r="C586" s="32">
        <f>IF(B586="","",IFERROR(INDEX(Inventario!$B$5:$B$200,MATCH(B586,Inventario!$A$5:$A$200,0)),"SKU no existe"))</f>
        <v/>
      </c>
      <c r="D586" s="28" t="n"/>
      <c r="E586" s="28" t="n"/>
      <c r="F586" s="28" t="n"/>
    </row>
    <row r="587" ht="15" customHeight="1" s="19">
      <c r="A587" s="35" t="n"/>
      <c r="B587" s="28" t="n"/>
      <c r="C587" s="32">
        <f>IF(B587="","",IFERROR(INDEX(Inventario!$B$5:$B$200,MATCH(B587,Inventario!$A$5:$A$200,0)),"SKU no existe"))</f>
        <v/>
      </c>
      <c r="D587" s="28" t="n"/>
      <c r="E587" s="28" t="n"/>
      <c r="F587" s="28" t="n"/>
    </row>
    <row r="588" ht="15" customHeight="1" s="19">
      <c r="A588" s="35" t="n"/>
      <c r="B588" s="28" t="n"/>
      <c r="C588" s="32">
        <f>IF(B588="","",IFERROR(INDEX(Inventario!$B$5:$B$200,MATCH(B588,Inventario!$A$5:$A$200,0)),"SKU no existe"))</f>
        <v/>
      </c>
      <c r="D588" s="28" t="n"/>
      <c r="E588" s="28" t="n"/>
      <c r="F588" s="28" t="n"/>
    </row>
    <row r="589" ht="15" customHeight="1" s="19">
      <c r="A589" s="35" t="n"/>
      <c r="B589" s="28" t="n"/>
      <c r="C589" s="32">
        <f>IF(B589="","",IFERROR(INDEX(Inventario!$B$5:$B$200,MATCH(B589,Inventario!$A$5:$A$200,0)),"SKU no existe"))</f>
        <v/>
      </c>
      <c r="D589" s="28" t="n"/>
      <c r="E589" s="28" t="n"/>
      <c r="F589" s="28" t="n"/>
    </row>
    <row r="590" ht="15" customHeight="1" s="19">
      <c r="A590" s="35" t="n"/>
      <c r="B590" s="28" t="n"/>
      <c r="C590" s="32">
        <f>IF(B590="","",IFERROR(INDEX(Inventario!$B$5:$B$200,MATCH(B590,Inventario!$A$5:$A$200,0)),"SKU no existe"))</f>
        <v/>
      </c>
      <c r="D590" s="28" t="n"/>
      <c r="E590" s="28" t="n"/>
      <c r="F590" s="28" t="n"/>
    </row>
    <row r="591" ht="15" customHeight="1" s="19">
      <c r="A591" s="35" t="n"/>
      <c r="B591" s="28" t="n"/>
      <c r="C591" s="32">
        <f>IF(B591="","",IFERROR(INDEX(Inventario!$B$5:$B$200,MATCH(B591,Inventario!$A$5:$A$200,0)),"SKU no existe"))</f>
        <v/>
      </c>
      <c r="D591" s="28" t="n"/>
      <c r="E591" s="28" t="n"/>
      <c r="F591" s="28" t="n"/>
    </row>
    <row r="592" ht="15" customHeight="1" s="19">
      <c r="A592" s="35" t="n"/>
      <c r="B592" s="28" t="n"/>
      <c r="C592" s="32">
        <f>IF(B592="","",IFERROR(INDEX(Inventario!$B$5:$B$200,MATCH(B592,Inventario!$A$5:$A$200,0)),"SKU no existe"))</f>
        <v/>
      </c>
      <c r="D592" s="28" t="n"/>
      <c r="E592" s="28" t="n"/>
      <c r="F592" s="28" t="n"/>
    </row>
    <row r="593" ht="15" customHeight="1" s="19">
      <c r="A593" s="35" t="n"/>
      <c r="B593" s="28" t="n"/>
      <c r="C593" s="32">
        <f>IF(B593="","",IFERROR(INDEX(Inventario!$B$5:$B$200,MATCH(B593,Inventario!$A$5:$A$200,0)),"SKU no existe"))</f>
        <v/>
      </c>
      <c r="D593" s="28" t="n"/>
      <c r="E593" s="28" t="n"/>
      <c r="F593" s="28" t="n"/>
    </row>
    <row r="594" ht="15" customHeight="1" s="19">
      <c r="A594" s="35" t="n"/>
      <c r="B594" s="28" t="n"/>
      <c r="C594" s="32">
        <f>IF(B594="","",IFERROR(INDEX(Inventario!$B$5:$B$200,MATCH(B594,Inventario!$A$5:$A$200,0)),"SKU no existe"))</f>
        <v/>
      </c>
      <c r="D594" s="28" t="n"/>
      <c r="E594" s="28" t="n"/>
      <c r="F594" s="28" t="n"/>
    </row>
    <row r="595" ht="15" customHeight="1" s="19">
      <c r="A595" s="35" t="n"/>
      <c r="B595" s="28" t="n"/>
      <c r="C595" s="32">
        <f>IF(B595="","",IFERROR(INDEX(Inventario!$B$5:$B$200,MATCH(B595,Inventario!$A$5:$A$200,0)),"SKU no existe"))</f>
        <v/>
      </c>
      <c r="D595" s="28" t="n"/>
      <c r="E595" s="28" t="n"/>
      <c r="F595" s="28" t="n"/>
    </row>
    <row r="596" ht="15" customHeight="1" s="19">
      <c r="A596" s="35" t="n"/>
      <c r="B596" s="28" t="n"/>
      <c r="C596" s="32">
        <f>IF(B596="","",IFERROR(INDEX(Inventario!$B$5:$B$200,MATCH(B596,Inventario!$A$5:$A$200,0)),"SKU no existe"))</f>
        <v/>
      </c>
      <c r="D596" s="28" t="n"/>
      <c r="E596" s="28" t="n"/>
      <c r="F596" s="28" t="n"/>
    </row>
    <row r="597" ht="15" customHeight="1" s="19">
      <c r="A597" s="35" t="n"/>
      <c r="B597" s="28" t="n"/>
      <c r="C597" s="32">
        <f>IF(B597="","",IFERROR(INDEX(Inventario!$B$5:$B$200,MATCH(B597,Inventario!$A$5:$A$200,0)),"SKU no existe"))</f>
        <v/>
      </c>
      <c r="D597" s="28" t="n"/>
      <c r="E597" s="28" t="n"/>
      <c r="F597" s="28" t="n"/>
    </row>
    <row r="598" ht="15" customHeight="1" s="19">
      <c r="A598" s="35" t="n"/>
      <c r="B598" s="28" t="n"/>
      <c r="C598" s="32">
        <f>IF(B598="","",IFERROR(INDEX(Inventario!$B$5:$B$200,MATCH(B598,Inventario!$A$5:$A$200,0)),"SKU no existe"))</f>
        <v/>
      </c>
      <c r="D598" s="28" t="n"/>
      <c r="E598" s="28" t="n"/>
      <c r="F598" s="28" t="n"/>
    </row>
    <row r="599" ht="15" customHeight="1" s="19">
      <c r="A599" s="35" t="n"/>
      <c r="B599" s="28" t="n"/>
      <c r="C599" s="32">
        <f>IF(B599="","",IFERROR(INDEX(Inventario!$B$5:$B$200,MATCH(B599,Inventario!$A$5:$A$200,0)),"SKU no existe"))</f>
        <v/>
      </c>
      <c r="D599" s="28" t="n"/>
      <c r="E599" s="28" t="n"/>
      <c r="F599" s="28" t="n"/>
    </row>
    <row r="600" ht="15" customHeight="1" s="19">
      <c r="A600" s="35" t="n"/>
      <c r="B600" s="28" t="n"/>
      <c r="C600" s="32">
        <f>IF(B600="","",IFERROR(INDEX(Inventario!$B$5:$B$200,MATCH(B600,Inventario!$A$5:$A$200,0)),"SKU no existe"))</f>
        <v/>
      </c>
      <c r="D600" s="28" t="n"/>
      <c r="E600" s="28" t="n"/>
      <c r="F600" s="28" t="n"/>
    </row>
    <row r="601" ht="15" customHeight="1" s="19">
      <c r="A601" s="35" t="n"/>
      <c r="B601" s="28" t="n"/>
      <c r="C601" s="32">
        <f>IF(B601="","",IFERROR(INDEX(Inventario!$B$5:$B$200,MATCH(B601,Inventario!$A$5:$A$200,0)),"SKU no existe"))</f>
        <v/>
      </c>
      <c r="D601" s="28" t="n"/>
      <c r="E601" s="28" t="n"/>
      <c r="F601" s="28" t="n"/>
    </row>
    <row r="602" ht="15" customHeight="1" s="19">
      <c r="A602" s="35" t="n"/>
      <c r="B602" s="28" t="n"/>
      <c r="C602" s="32">
        <f>IF(B602="","",IFERROR(INDEX(Inventario!$B$5:$B$200,MATCH(B602,Inventario!$A$5:$A$200,0)),"SKU no existe"))</f>
        <v/>
      </c>
      <c r="D602" s="28" t="n"/>
      <c r="E602" s="28" t="n"/>
      <c r="F602" s="28" t="n"/>
    </row>
    <row r="603" ht="15" customHeight="1" s="19">
      <c r="A603" s="35" t="n"/>
      <c r="B603" s="28" t="n"/>
      <c r="C603" s="32">
        <f>IF(B603="","",IFERROR(INDEX(Inventario!$B$5:$B$200,MATCH(B603,Inventario!$A$5:$A$200,0)),"SKU no existe"))</f>
        <v/>
      </c>
      <c r="D603" s="28" t="n"/>
      <c r="E603" s="28" t="n"/>
      <c r="F603" s="28" t="n"/>
    </row>
    <row r="604" ht="15" customHeight="1" s="19">
      <c r="A604" s="35" t="n"/>
      <c r="B604" s="28" t="n"/>
      <c r="C604" s="32">
        <f>IF(B604="","",IFERROR(INDEX(Inventario!$B$5:$B$200,MATCH(B604,Inventario!$A$5:$A$200,0)),"SKU no existe"))</f>
        <v/>
      </c>
      <c r="D604" s="28" t="n"/>
      <c r="E604" s="28" t="n"/>
      <c r="F604" s="28" t="n"/>
    </row>
    <row r="605" ht="15" customHeight="1" s="19">
      <c r="A605" s="35" t="n"/>
      <c r="B605" s="28" t="n"/>
      <c r="C605" s="32">
        <f>IF(B605="","",IFERROR(INDEX(Inventario!$B$5:$B$200,MATCH(B605,Inventario!$A$5:$A$200,0)),"SKU no existe"))</f>
        <v/>
      </c>
      <c r="D605" s="28" t="n"/>
      <c r="E605" s="28" t="n"/>
      <c r="F605" s="28" t="n"/>
    </row>
    <row r="606" ht="15" customHeight="1" s="19">
      <c r="A606" s="35" t="n"/>
      <c r="B606" s="28" t="n"/>
      <c r="C606" s="32">
        <f>IF(B606="","",IFERROR(INDEX(Inventario!$B$5:$B$200,MATCH(B606,Inventario!$A$5:$A$200,0)),"SKU no existe"))</f>
        <v/>
      </c>
      <c r="D606" s="28" t="n"/>
      <c r="E606" s="28" t="n"/>
      <c r="F606" s="28" t="n"/>
    </row>
    <row r="607" ht="15" customHeight="1" s="19">
      <c r="A607" s="35" t="n"/>
      <c r="B607" s="28" t="n"/>
      <c r="C607" s="32">
        <f>IF(B607="","",IFERROR(INDEX(Inventario!$B$5:$B$200,MATCH(B607,Inventario!$A$5:$A$200,0)),"SKU no existe"))</f>
        <v/>
      </c>
      <c r="D607" s="28" t="n"/>
      <c r="E607" s="28" t="n"/>
      <c r="F607" s="28" t="n"/>
    </row>
    <row r="608" ht="15" customHeight="1" s="19">
      <c r="A608" s="35" t="n"/>
      <c r="B608" s="28" t="n"/>
      <c r="C608" s="32">
        <f>IF(B608="","",IFERROR(INDEX(Inventario!$B$5:$B$200,MATCH(B608,Inventario!$A$5:$A$200,0)),"SKU no existe"))</f>
        <v/>
      </c>
      <c r="D608" s="28" t="n"/>
      <c r="E608" s="28" t="n"/>
      <c r="F608" s="28" t="n"/>
    </row>
    <row r="609" ht="15" customHeight="1" s="19">
      <c r="A609" s="35" t="n"/>
      <c r="B609" s="28" t="n"/>
      <c r="C609" s="32">
        <f>IF(B609="","",IFERROR(INDEX(Inventario!$B$5:$B$200,MATCH(B609,Inventario!$A$5:$A$200,0)),"SKU no existe"))</f>
        <v/>
      </c>
      <c r="D609" s="28" t="n"/>
      <c r="E609" s="28" t="n"/>
      <c r="F609" s="28" t="n"/>
    </row>
    <row r="610" ht="15" customHeight="1" s="19">
      <c r="A610" s="35" t="n"/>
      <c r="B610" s="28" t="n"/>
      <c r="C610" s="32">
        <f>IF(B610="","",IFERROR(INDEX(Inventario!$B$5:$B$200,MATCH(B610,Inventario!$A$5:$A$200,0)),"SKU no existe"))</f>
        <v/>
      </c>
      <c r="D610" s="28" t="n"/>
      <c r="E610" s="28" t="n"/>
      <c r="F610" s="28" t="n"/>
    </row>
    <row r="611" ht="15" customHeight="1" s="19">
      <c r="A611" s="35" t="n"/>
      <c r="B611" s="28" t="n"/>
      <c r="C611" s="32">
        <f>IF(B611="","",IFERROR(INDEX(Inventario!$B$5:$B$200,MATCH(B611,Inventario!$A$5:$A$200,0)),"SKU no existe"))</f>
        <v/>
      </c>
      <c r="D611" s="28" t="n"/>
      <c r="E611" s="28" t="n"/>
      <c r="F611" s="28" t="n"/>
    </row>
    <row r="612" ht="15" customHeight="1" s="19">
      <c r="A612" s="35" t="n"/>
      <c r="B612" s="28" t="n"/>
      <c r="C612" s="32">
        <f>IF(B612="","",IFERROR(INDEX(Inventario!$B$5:$B$200,MATCH(B612,Inventario!$A$5:$A$200,0)),"SKU no existe"))</f>
        <v/>
      </c>
      <c r="D612" s="28" t="n"/>
      <c r="E612" s="28" t="n"/>
      <c r="F612" s="28" t="n"/>
    </row>
    <row r="613" ht="15" customHeight="1" s="19">
      <c r="A613" s="35" t="n"/>
      <c r="B613" s="28" t="n"/>
      <c r="C613" s="32">
        <f>IF(B613="","",IFERROR(INDEX(Inventario!$B$5:$B$200,MATCH(B613,Inventario!$A$5:$A$200,0)),"SKU no existe"))</f>
        <v/>
      </c>
      <c r="D613" s="28" t="n"/>
      <c r="E613" s="28" t="n"/>
      <c r="F613" s="28" t="n"/>
    </row>
    <row r="614" ht="15" customHeight="1" s="19">
      <c r="A614" s="35" t="n"/>
      <c r="B614" s="28" t="n"/>
      <c r="C614" s="32">
        <f>IF(B614="","",IFERROR(INDEX(Inventario!$B$5:$B$200,MATCH(B614,Inventario!$A$5:$A$200,0)),"SKU no existe"))</f>
        <v/>
      </c>
      <c r="D614" s="28" t="n"/>
      <c r="E614" s="28" t="n"/>
      <c r="F614" s="28" t="n"/>
    </row>
    <row r="615" ht="15" customHeight="1" s="19">
      <c r="A615" s="35" t="n"/>
      <c r="B615" s="28" t="n"/>
      <c r="C615" s="32">
        <f>IF(B615="","",IFERROR(INDEX(Inventario!$B$5:$B$200,MATCH(B615,Inventario!$A$5:$A$200,0)),"SKU no existe"))</f>
        <v/>
      </c>
      <c r="D615" s="28" t="n"/>
      <c r="E615" s="28" t="n"/>
      <c r="F615" s="28" t="n"/>
    </row>
    <row r="616" ht="15" customHeight="1" s="19">
      <c r="A616" s="35" t="n"/>
      <c r="B616" s="28" t="n"/>
      <c r="C616" s="32">
        <f>IF(B616="","",IFERROR(INDEX(Inventario!$B$5:$B$200,MATCH(B616,Inventario!$A$5:$A$200,0)),"SKU no existe"))</f>
        <v/>
      </c>
      <c r="D616" s="28" t="n"/>
      <c r="E616" s="28" t="n"/>
      <c r="F616" s="28" t="n"/>
    </row>
    <row r="617" ht="15" customHeight="1" s="19">
      <c r="A617" s="35" t="n"/>
      <c r="B617" s="28" t="n"/>
      <c r="C617" s="32">
        <f>IF(B617="","",IFERROR(INDEX(Inventario!$B$5:$B$200,MATCH(B617,Inventario!$A$5:$A$200,0)),"SKU no existe"))</f>
        <v/>
      </c>
      <c r="D617" s="28" t="n"/>
      <c r="E617" s="28" t="n"/>
      <c r="F617" s="28" t="n"/>
    </row>
    <row r="618" ht="15" customHeight="1" s="19">
      <c r="A618" s="35" t="n"/>
      <c r="B618" s="28" t="n"/>
      <c r="C618" s="32">
        <f>IF(B618="","",IFERROR(INDEX(Inventario!$B$5:$B$200,MATCH(B618,Inventario!$A$5:$A$200,0)),"SKU no existe"))</f>
        <v/>
      </c>
      <c r="D618" s="28" t="n"/>
      <c r="E618" s="28" t="n"/>
      <c r="F618" s="28" t="n"/>
    </row>
    <row r="619" ht="15" customHeight="1" s="19">
      <c r="A619" s="35" t="n"/>
      <c r="B619" s="28" t="n"/>
      <c r="C619" s="32">
        <f>IF(B619="","",IFERROR(INDEX(Inventario!$B$5:$B$200,MATCH(B619,Inventario!$A$5:$A$200,0)),"SKU no existe"))</f>
        <v/>
      </c>
      <c r="D619" s="28" t="n"/>
      <c r="E619" s="28" t="n"/>
      <c r="F619" s="28" t="n"/>
    </row>
    <row r="620" ht="15" customHeight="1" s="19">
      <c r="A620" s="35" t="n"/>
      <c r="B620" s="28" t="n"/>
      <c r="C620" s="32">
        <f>IF(B620="","",IFERROR(INDEX(Inventario!$B$5:$B$200,MATCH(B620,Inventario!$A$5:$A$200,0)),"SKU no existe"))</f>
        <v/>
      </c>
      <c r="D620" s="28" t="n"/>
      <c r="E620" s="28" t="n"/>
      <c r="F620" s="28" t="n"/>
    </row>
    <row r="621" ht="15" customHeight="1" s="19">
      <c r="A621" s="35" t="n"/>
      <c r="B621" s="28" t="n"/>
      <c r="C621" s="32">
        <f>IF(B621="","",IFERROR(INDEX(Inventario!$B$5:$B$200,MATCH(B621,Inventario!$A$5:$A$200,0)),"SKU no existe"))</f>
        <v/>
      </c>
      <c r="D621" s="28" t="n"/>
      <c r="E621" s="28" t="n"/>
      <c r="F621" s="28" t="n"/>
    </row>
    <row r="622" ht="15" customHeight="1" s="19">
      <c r="A622" s="35" t="n"/>
      <c r="B622" s="28" t="n"/>
      <c r="C622" s="32">
        <f>IF(B622="","",IFERROR(INDEX(Inventario!$B$5:$B$200,MATCH(B622,Inventario!$A$5:$A$200,0)),"SKU no existe"))</f>
        <v/>
      </c>
      <c r="D622" s="28" t="n"/>
      <c r="E622" s="28" t="n"/>
      <c r="F622" s="28" t="n"/>
    </row>
    <row r="623" ht="15" customHeight="1" s="19">
      <c r="A623" s="35" t="n"/>
      <c r="B623" s="28" t="n"/>
      <c r="C623" s="32">
        <f>IF(B623="","",IFERROR(INDEX(Inventario!$B$5:$B$200,MATCH(B623,Inventario!$A$5:$A$200,0)),"SKU no existe"))</f>
        <v/>
      </c>
      <c r="D623" s="28" t="n"/>
      <c r="E623" s="28" t="n"/>
      <c r="F623" s="28" t="n"/>
    </row>
    <row r="624" ht="15" customHeight="1" s="19">
      <c r="A624" s="35" t="n"/>
      <c r="B624" s="28" t="n"/>
      <c r="C624" s="32">
        <f>IF(B624="","",IFERROR(INDEX(Inventario!$B$5:$B$200,MATCH(B624,Inventario!$A$5:$A$200,0)),"SKU no existe"))</f>
        <v/>
      </c>
      <c r="D624" s="28" t="n"/>
      <c r="E624" s="28" t="n"/>
      <c r="F624" s="28" t="n"/>
    </row>
    <row r="625" ht="15" customHeight="1" s="19">
      <c r="A625" s="35" t="n"/>
      <c r="B625" s="28" t="n"/>
      <c r="C625" s="32">
        <f>IF(B625="","",IFERROR(INDEX(Inventario!$B$5:$B$200,MATCH(B625,Inventario!$A$5:$A$200,0)),"SKU no existe"))</f>
        <v/>
      </c>
      <c r="D625" s="28" t="n"/>
      <c r="E625" s="28" t="n"/>
      <c r="F625" s="28" t="n"/>
    </row>
    <row r="626" ht="15" customHeight="1" s="19">
      <c r="A626" s="35" t="n"/>
      <c r="B626" s="28" t="n"/>
      <c r="C626" s="32">
        <f>IF(B626="","",IFERROR(INDEX(Inventario!$B$5:$B$200,MATCH(B626,Inventario!$A$5:$A$200,0)),"SKU no existe"))</f>
        <v/>
      </c>
      <c r="D626" s="28" t="n"/>
      <c r="E626" s="28" t="n"/>
      <c r="F626" s="28" t="n"/>
    </row>
    <row r="627" ht="15" customHeight="1" s="19">
      <c r="A627" s="35" t="n"/>
      <c r="B627" s="28" t="n"/>
      <c r="C627" s="32">
        <f>IF(B627="","",IFERROR(INDEX(Inventario!$B$5:$B$200,MATCH(B627,Inventario!$A$5:$A$200,0)),"SKU no existe"))</f>
        <v/>
      </c>
      <c r="D627" s="28" t="n"/>
      <c r="E627" s="28" t="n"/>
      <c r="F627" s="28" t="n"/>
    </row>
    <row r="628" ht="15" customHeight="1" s="19">
      <c r="A628" s="35" t="n"/>
      <c r="B628" s="28" t="n"/>
      <c r="C628" s="32">
        <f>IF(B628="","",IFERROR(INDEX(Inventario!$B$5:$B$200,MATCH(B628,Inventario!$A$5:$A$200,0)),"SKU no existe"))</f>
        <v/>
      </c>
      <c r="D628" s="28" t="n"/>
      <c r="E628" s="28" t="n"/>
      <c r="F628" s="28" t="n"/>
    </row>
    <row r="629" ht="15" customHeight="1" s="19">
      <c r="A629" s="35" t="n"/>
      <c r="B629" s="28" t="n"/>
      <c r="C629" s="32">
        <f>IF(B629="","",IFERROR(INDEX(Inventario!$B$5:$B$200,MATCH(B629,Inventario!$A$5:$A$200,0)),"SKU no existe"))</f>
        <v/>
      </c>
      <c r="D629" s="28" t="n"/>
      <c r="E629" s="28" t="n"/>
      <c r="F629" s="28" t="n"/>
    </row>
    <row r="630" ht="15" customHeight="1" s="19">
      <c r="A630" s="35" t="n"/>
      <c r="B630" s="28" t="n"/>
      <c r="C630" s="32">
        <f>IF(B630="","",IFERROR(INDEX(Inventario!$B$5:$B$200,MATCH(B630,Inventario!$A$5:$A$200,0)),"SKU no existe"))</f>
        <v/>
      </c>
      <c r="D630" s="28" t="n"/>
      <c r="E630" s="28" t="n"/>
      <c r="F630" s="28" t="n"/>
    </row>
    <row r="631" ht="15" customHeight="1" s="19">
      <c r="A631" s="35" t="n"/>
      <c r="B631" s="28" t="n"/>
      <c r="C631" s="32">
        <f>IF(B631="","",IFERROR(INDEX(Inventario!$B$5:$B$200,MATCH(B631,Inventario!$A$5:$A$200,0)),"SKU no existe"))</f>
        <v/>
      </c>
      <c r="D631" s="28" t="n"/>
      <c r="E631" s="28" t="n"/>
      <c r="F631" s="28" t="n"/>
    </row>
    <row r="632" ht="15" customHeight="1" s="19">
      <c r="A632" s="35" t="n"/>
      <c r="B632" s="28" t="n"/>
      <c r="C632" s="32">
        <f>IF(B632="","",IFERROR(INDEX(Inventario!$B$5:$B$200,MATCH(B632,Inventario!$A$5:$A$200,0)),"SKU no existe"))</f>
        <v/>
      </c>
      <c r="D632" s="28" t="n"/>
      <c r="E632" s="28" t="n"/>
      <c r="F632" s="28" t="n"/>
    </row>
    <row r="633" ht="15" customHeight="1" s="19">
      <c r="A633" s="35" t="n"/>
      <c r="B633" s="28" t="n"/>
      <c r="C633" s="32">
        <f>IF(B633="","",IFERROR(INDEX(Inventario!$B$5:$B$200,MATCH(B633,Inventario!$A$5:$A$200,0)),"SKU no existe"))</f>
        <v/>
      </c>
      <c r="D633" s="28" t="n"/>
      <c r="E633" s="28" t="n"/>
      <c r="F633" s="28" t="n"/>
    </row>
    <row r="634" ht="15" customHeight="1" s="19">
      <c r="A634" s="35" t="n"/>
      <c r="B634" s="28" t="n"/>
      <c r="C634" s="32">
        <f>IF(B634="","",IFERROR(INDEX(Inventario!$B$5:$B$200,MATCH(B634,Inventario!$A$5:$A$200,0)),"SKU no existe"))</f>
        <v/>
      </c>
      <c r="D634" s="28" t="n"/>
      <c r="E634" s="28" t="n"/>
      <c r="F634" s="28" t="n"/>
    </row>
    <row r="635" ht="15" customHeight="1" s="19">
      <c r="A635" s="35" t="n"/>
      <c r="B635" s="28" t="n"/>
      <c r="C635" s="32">
        <f>IF(B635="","",IFERROR(INDEX(Inventario!$B$5:$B$200,MATCH(B635,Inventario!$A$5:$A$200,0)),"SKU no existe"))</f>
        <v/>
      </c>
      <c r="D635" s="28" t="n"/>
      <c r="E635" s="28" t="n"/>
      <c r="F635" s="28" t="n"/>
    </row>
    <row r="636" ht="15" customHeight="1" s="19">
      <c r="A636" s="35" t="n"/>
      <c r="B636" s="28" t="n"/>
      <c r="C636" s="32">
        <f>IF(B636="","",IFERROR(INDEX(Inventario!$B$5:$B$200,MATCH(B636,Inventario!$A$5:$A$200,0)),"SKU no existe"))</f>
        <v/>
      </c>
      <c r="D636" s="28" t="n"/>
      <c r="E636" s="28" t="n"/>
      <c r="F636" s="28" t="n"/>
    </row>
    <row r="637" ht="15" customHeight="1" s="19">
      <c r="A637" s="35" t="n"/>
      <c r="B637" s="28" t="n"/>
      <c r="C637" s="32">
        <f>IF(B637="","",IFERROR(INDEX(Inventario!$B$5:$B$200,MATCH(B637,Inventario!$A$5:$A$200,0)),"SKU no existe"))</f>
        <v/>
      </c>
      <c r="D637" s="28" t="n"/>
      <c r="E637" s="28" t="n"/>
      <c r="F637" s="28" t="n"/>
    </row>
    <row r="638" ht="15" customHeight="1" s="19">
      <c r="A638" s="35" t="n"/>
      <c r="B638" s="28" t="n"/>
      <c r="C638" s="32">
        <f>IF(B638="","",IFERROR(INDEX(Inventario!$B$5:$B$200,MATCH(B638,Inventario!$A$5:$A$200,0)),"SKU no existe"))</f>
        <v/>
      </c>
      <c r="D638" s="28" t="n"/>
      <c r="E638" s="28" t="n"/>
      <c r="F638" s="28" t="n"/>
    </row>
    <row r="639" ht="15" customHeight="1" s="19">
      <c r="A639" s="35" t="n"/>
      <c r="B639" s="28" t="n"/>
      <c r="C639" s="32">
        <f>IF(B639="","",IFERROR(INDEX(Inventario!$B$5:$B$200,MATCH(B639,Inventario!$A$5:$A$200,0)),"SKU no existe"))</f>
        <v/>
      </c>
      <c r="D639" s="28" t="n"/>
      <c r="E639" s="28" t="n"/>
      <c r="F639" s="28" t="n"/>
    </row>
    <row r="640" ht="15" customHeight="1" s="19">
      <c r="A640" s="35" t="n"/>
      <c r="B640" s="28" t="n"/>
      <c r="C640" s="32">
        <f>IF(B640="","",IFERROR(INDEX(Inventario!$B$5:$B$200,MATCH(B640,Inventario!$A$5:$A$200,0)),"SKU no existe"))</f>
        <v/>
      </c>
      <c r="D640" s="28" t="n"/>
      <c r="E640" s="28" t="n"/>
      <c r="F640" s="28" t="n"/>
    </row>
    <row r="641" ht="15" customHeight="1" s="19">
      <c r="A641" s="35" t="n"/>
      <c r="B641" s="28" t="n"/>
      <c r="C641" s="32">
        <f>IF(B641="","",IFERROR(INDEX(Inventario!$B$5:$B$200,MATCH(B641,Inventario!$A$5:$A$200,0)),"SKU no existe"))</f>
        <v/>
      </c>
      <c r="D641" s="28" t="n"/>
      <c r="E641" s="28" t="n"/>
      <c r="F641" s="28" t="n"/>
    </row>
    <row r="642" ht="15" customHeight="1" s="19">
      <c r="A642" s="35" t="n"/>
      <c r="B642" s="28" t="n"/>
      <c r="C642" s="32">
        <f>IF(B642="","",IFERROR(INDEX(Inventario!$B$5:$B$200,MATCH(B642,Inventario!$A$5:$A$200,0)),"SKU no existe"))</f>
        <v/>
      </c>
      <c r="D642" s="28" t="n"/>
      <c r="E642" s="28" t="n"/>
      <c r="F642" s="28" t="n"/>
    </row>
    <row r="643" ht="15" customHeight="1" s="19">
      <c r="A643" s="35" t="n"/>
      <c r="B643" s="28" t="n"/>
      <c r="C643" s="32">
        <f>IF(B643="","",IFERROR(INDEX(Inventario!$B$5:$B$200,MATCH(B643,Inventario!$A$5:$A$200,0)),"SKU no existe"))</f>
        <v/>
      </c>
      <c r="D643" s="28" t="n"/>
      <c r="E643" s="28" t="n"/>
      <c r="F643" s="28" t="n"/>
    </row>
    <row r="644" ht="15" customHeight="1" s="19">
      <c r="A644" s="35" t="n"/>
      <c r="B644" s="28" t="n"/>
      <c r="C644" s="32">
        <f>IF(B644="","",IFERROR(INDEX(Inventario!$B$5:$B$200,MATCH(B644,Inventario!$A$5:$A$200,0)),"SKU no existe"))</f>
        <v/>
      </c>
      <c r="D644" s="28" t="n"/>
      <c r="E644" s="28" t="n"/>
      <c r="F644" s="28" t="n"/>
    </row>
    <row r="645" ht="15" customHeight="1" s="19">
      <c r="A645" s="35" t="n"/>
      <c r="B645" s="28" t="n"/>
      <c r="C645" s="32">
        <f>IF(B645="","",IFERROR(INDEX(Inventario!$B$5:$B$200,MATCH(B645,Inventario!$A$5:$A$200,0)),"SKU no existe"))</f>
        <v/>
      </c>
      <c r="D645" s="28" t="n"/>
      <c r="E645" s="28" t="n"/>
      <c r="F645" s="28" t="n"/>
    </row>
    <row r="646" ht="15" customHeight="1" s="19">
      <c r="A646" s="35" t="n"/>
      <c r="B646" s="28" t="n"/>
      <c r="C646" s="32">
        <f>IF(B646="","",IFERROR(INDEX(Inventario!$B$5:$B$200,MATCH(B646,Inventario!$A$5:$A$200,0)),"SKU no existe"))</f>
        <v/>
      </c>
      <c r="D646" s="28" t="n"/>
      <c r="E646" s="28" t="n"/>
      <c r="F646" s="28" t="n"/>
    </row>
    <row r="647" ht="15" customHeight="1" s="19">
      <c r="A647" s="35" t="n"/>
      <c r="B647" s="28" t="n"/>
      <c r="C647" s="32">
        <f>IF(B647="","",IFERROR(INDEX(Inventario!$B$5:$B$200,MATCH(B647,Inventario!$A$5:$A$200,0)),"SKU no existe"))</f>
        <v/>
      </c>
      <c r="D647" s="28" t="n"/>
      <c r="E647" s="28" t="n"/>
      <c r="F647" s="28" t="n"/>
    </row>
    <row r="648" ht="15" customHeight="1" s="19">
      <c r="A648" s="35" t="n"/>
      <c r="B648" s="28" t="n"/>
      <c r="C648" s="32">
        <f>IF(B648="","",IFERROR(INDEX(Inventario!$B$5:$B$200,MATCH(B648,Inventario!$A$5:$A$200,0)),"SKU no existe"))</f>
        <v/>
      </c>
      <c r="D648" s="28" t="n"/>
      <c r="E648" s="28" t="n"/>
      <c r="F648" s="28" t="n"/>
    </row>
    <row r="649" ht="15" customHeight="1" s="19">
      <c r="A649" s="35" t="n"/>
      <c r="B649" s="28" t="n"/>
      <c r="C649" s="32">
        <f>IF(B649="","",IFERROR(INDEX(Inventario!$B$5:$B$200,MATCH(B649,Inventario!$A$5:$A$200,0)),"SKU no existe"))</f>
        <v/>
      </c>
      <c r="D649" s="28" t="n"/>
      <c r="E649" s="28" t="n"/>
      <c r="F649" s="28" t="n"/>
    </row>
    <row r="650" ht="15" customHeight="1" s="19">
      <c r="A650" s="35" t="n"/>
      <c r="B650" s="28" t="n"/>
      <c r="C650" s="32">
        <f>IF(B650="","",IFERROR(INDEX(Inventario!$B$5:$B$200,MATCH(B650,Inventario!$A$5:$A$200,0)),"SKU no existe"))</f>
        <v/>
      </c>
      <c r="D650" s="28" t="n"/>
      <c r="E650" s="28" t="n"/>
      <c r="F650" s="28" t="n"/>
    </row>
    <row r="651" ht="15" customHeight="1" s="19">
      <c r="A651" s="35" t="n"/>
      <c r="B651" s="28" t="n"/>
      <c r="C651" s="32">
        <f>IF(B651="","",IFERROR(INDEX(Inventario!$B$5:$B$200,MATCH(B651,Inventario!$A$5:$A$200,0)),"SKU no existe"))</f>
        <v/>
      </c>
      <c r="D651" s="28" t="n"/>
      <c r="E651" s="28" t="n"/>
      <c r="F651" s="28" t="n"/>
    </row>
    <row r="652" ht="15" customHeight="1" s="19">
      <c r="A652" s="35" t="n"/>
      <c r="B652" s="28" t="n"/>
      <c r="C652" s="32">
        <f>IF(B652="","",IFERROR(INDEX(Inventario!$B$5:$B$200,MATCH(B652,Inventario!$A$5:$A$200,0)),"SKU no existe"))</f>
        <v/>
      </c>
      <c r="D652" s="28" t="n"/>
      <c r="E652" s="28" t="n"/>
      <c r="F652" s="28" t="n"/>
    </row>
    <row r="653" ht="15" customHeight="1" s="19">
      <c r="A653" s="35" t="n"/>
      <c r="B653" s="28" t="n"/>
      <c r="C653" s="32">
        <f>IF(B653="","",IFERROR(INDEX(Inventario!$B$5:$B$200,MATCH(B653,Inventario!$A$5:$A$200,0)),"SKU no existe"))</f>
        <v/>
      </c>
      <c r="D653" s="28" t="n"/>
      <c r="E653" s="28" t="n"/>
      <c r="F653" s="28" t="n"/>
    </row>
    <row r="654" ht="15" customHeight="1" s="19">
      <c r="A654" s="35" t="n"/>
      <c r="B654" s="28" t="n"/>
      <c r="C654" s="32">
        <f>IF(B654="","",IFERROR(INDEX(Inventario!$B$5:$B$200,MATCH(B654,Inventario!$A$5:$A$200,0)),"SKU no existe"))</f>
        <v/>
      </c>
      <c r="D654" s="28" t="n"/>
      <c r="E654" s="28" t="n"/>
      <c r="F654" s="28" t="n"/>
    </row>
    <row r="655" ht="15" customHeight="1" s="19">
      <c r="A655" s="35" t="n"/>
      <c r="B655" s="28" t="n"/>
      <c r="C655" s="32">
        <f>IF(B655="","",IFERROR(INDEX(Inventario!$B$5:$B$200,MATCH(B655,Inventario!$A$5:$A$200,0)),"SKU no existe"))</f>
        <v/>
      </c>
      <c r="D655" s="28" t="n"/>
      <c r="E655" s="28" t="n"/>
      <c r="F655" s="28" t="n"/>
    </row>
    <row r="656" ht="15" customHeight="1" s="19">
      <c r="A656" s="35" t="n"/>
      <c r="B656" s="28" t="n"/>
      <c r="C656" s="32">
        <f>IF(B656="","",IFERROR(INDEX(Inventario!$B$5:$B$200,MATCH(B656,Inventario!$A$5:$A$200,0)),"SKU no existe"))</f>
        <v/>
      </c>
      <c r="D656" s="28" t="n"/>
      <c r="E656" s="28" t="n"/>
      <c r="F656" s="28" t="n"/>
    </row>
    <row r="657" ht="15" customHeight="1" s="19">
      <c r="A657" s="35" t="n"/>
      <c r="B657" s="28" t="n"/>
      <c r="C657" s="32">
        <f>IF(B657="","",IFERROR(INDEX(Inventario!$B$5:$B$200,MATCH(B657,Inventario!$A$5:$A$200,0)),"SKU no existe"))</f>
        <v/>
      </c>
      <c r="D657" s="28" t="n"/>
      <c r="E657" s="28" t="n"/>
      <c r="F657" s="28" t="n"/>
    </row>
    <row r="658" ht="15" customHeight="1" s="19">
      <c r="A658" s="35" t="n"/>
      <c r="B658" s="28" t="n"/>
      <c r="C658" s="32">
        <f>IF(B658="","",IFERROR(INDEX(Inventario!$B$5:$B$200,MATCH(B658,Inventario!$A$5:$A$200,0)),"SKU no existe"))</f>
        <v/>
      </c>
      <c r="D658" s="28" t="n"/>
      <c r="E658" s="28" t="n"/>
      <c r="F658" s="28" t="n"/>
    </row>
    <row r="659" ht="15" customHeight="1" s="19">
      <c r="A659" s="35" t="n"/>
      <c r="B659" s="28" t="n"/>
      <c r="C659" s="32">
        <f>IF(B659="","",IFERROR(INDEX(Inventario!$B$5:$B$200,MATCH(B659,Inventario!$A$5:$A$200,0)),"SKU no existe"))</f>
        <v/>
      </c>
      <c r="D659" s="28" t="n"/>
      <c r="E659" s="28" t="n"/>
      <c r="F659" s="28" t="n"/>
    </row>
    <row r="660" ht="15" customHeight="1" s="19">
      <c r="A660" s="35" t="n"/>
      <c r="B660" s="28" t="n"/>
      <c r="C660" s="32">
        <f>IF(B660="","",IFERROR(INDEX(Inventario!$B$5:$B$200,MATCH(B660,Inventario!$A$5:$A$200,0)),"SKU no existe"))</f>
        <v/>
      </c>
      <c r="D660" s="28" t="n"/>
      <c r="E660" s="28" t="n"/>
      <c r="F660" s="28" t="n"/>
    </row>
    <row r="661" ht="15" customHeight="1" s="19">
      <c r="A661" s="35" t="n"/>
      <c r="B661" s="28" t="n"/>
      <c r="C661" s="32">
        <f>IF(B661="","",IFERROR(INDEX(Inventario!$B$5:$B$200,MATCH(B661,Inventario!$A$5:$A$200,0)),"SKU no existe"))</f>
        <v/>
      </c>
      <c r="D661" s="28" t="n"/>
      <c r="E661" s="28" t="n"/>
      <c r="F661" s="28" t="n"/>
    </row>
    <row r="662" ht="15" customHeight="1" s="19">
      <c r="A662" s="35" t="n"/>
      <c r="B662" s="28" t="n"/>
      <c r="C662" s="32">
        <f>IF(B662="","",IFERROR(INDEX(Inventario!$B$5:$B$200,MATCH(B662,Inventario!$A$5:$A$200,0)),"SKU no existe"))</f>
        <v/>
      </c>
      <c r="D662" s="28" t="n"/>
      <c r="E662" s="28" t="n"/>
      <c r="F662" s="28" t="n"/>
    </row>
    <row r="663" ht="15" customHeight="1" s="19">
      <c r="A663" s="35" t="n"/>
      <c r="B663" s="28" t="n"/>
      <c r="C663" s="32">
        <f>IF(B663="","",IFERROR(INDEX(Inventario!$B$5:$B$200,MATCH(B663,Inventario!$A$5:$A$200,0)),"SKU no existe"))</f>
        <v/>
      </c>
      <c r="D663" s="28" t="n"/>
      <c r="E663" s="28" t="n"/>
      <c r="F663" s="28" t="n"/>
    </row>
    <row r="664" ht="15" customHeight="1" s="19">
      <c r="A664" s="35" t="n"/>
      <c r="B664" s="28" t="n"/>
      <c r="C664" s="32">
        <f>IF(B664="","",IFERROR(INDEX(Inventario!$B$5:$B$200,MATCH(B664,Inventario!$A$5:$A$200,0)),"SKU no existe"))</f>
        <v/>
      </c>
      <c r="D664" s="28" t="n"/>
      <c r="E664" s="28" t="n"/>
      <c r="F664" s="28" t="n"/>
    </row>
    <row r="665" ht="15" customHeight="1" s="19">
      <c r="A665" s="35" t="n"/>
      <c r="B665" s="28" t="n"/>
      <c r="C665" s="32">
        <f>IF(B665="","",IFERROR(INDEX(Inventario!$B$5:$B$200,MATCH(B665,Inventario!$A$5:$A$200,0)),"SKU no existe"))</f>
        <v/>
      </c>
      <c r="D665" s="28" t="n"/>
      <c r="E665" s="28" t="n"/>
      <c r="F665" s="28" t="n"/>
    </row>
    <row r="666" ht="15" customHeight="1" s="19">
      <c r="A666" s="35" t="n"/>
      <c r="B666" s="28" t="n"/>
      <c r="C666" s="32">
        <f>IF(B666="","",IFERROR(INDEX(Inventario!$B$5:$B$200,MATCH(B666,Inventario!$A$5:$A$200,0)),"SKU no existe"))</f>
        <v/>
      </c>
      <c r="D666" s="28" t="n"/>
      <c r="E666" s="28" t="n"/>
      <c r="F666" s="28" t="n"/>
    </row>
    <row r="667" ht="15" customHeight="1" s="19">
      <c r="A667" s="35" t="n"/>
      <c r="B667" s="28" t="n"/>
      <c r="C667" s="32">
        <f>IF(B667="","",IFERROR(INDEX(Inventario!$B$5:$B$200,MATCH(B667,Inventario!$A$5:$A$200,0)),"SKU no existe"))</f>
        <v/>
      </c>
      <c r="D667" s="28" t="n"/>
      <c r="E667" s="28" t="n"/>
      <c r="F667" s="28" t="n"/>
    </row>
    <row r="668" ht="15" customHeight="1" s="19">
      <c r="A668" s="35" t="n"/>
      <c r="B668" s="28" t="n"/>
      <c r="C668" s="32">
        <f>IF(B668="","",IFERROR(INDEX(Inventario!$B$5:$B$200,MATCH(B668,Inventario!$A$5:$A$200,0)),"SKU no existe"))</f>
        <v/>
      </c>
      <c r="D668" s="28" t="n"/>
      <c r="E668" s="28" t="n"/>
      <c r="F668" s="28" t="n"/>
    </row>
    <row r="669" ht="15" customHeight="1" s="19">
      <c r="A669" s="35" t="n"/>
      <c r="B669" s="28" t="n"/>
      <c r="C669" s="32">
        <f>IF(B669="","",IFERROR(INDEX(Inventario!$B$5:$B$200,MATCH(B669,Inventario!$A$5:$A$200,0)),"SKU no existe"))</f>
        <v/>
      </c>
      <c r="D669" s="28" t="n"/>
      <c r="E669" s="28" t="n"/>
      <c r="F669" s="28" t="n"/>
    </row>
    <row r="670" ht="15" customHeight="1" s="19">
      <c r="A670" s="35" t="n"/>
      <c r="B670" s="28" t="n"/>
      <c r="C670" s="32">
        <f>IF(B670="","",IFERROR(INDEX(Inventario!$B$5:$B$200,MATCH(B670,Inventario!$A$5:$A$200,0)),"SKU no existe"))</f>
        <v/>
      </c>
      <c r="D670" s="28" t="n"/>
      <c r="E670" s="28" t="n"/>
      <c r="F670" s="28" t="n"/>
    </row>
    <row r="671" ht="15" customHeight="1" s="19">
      <c r="A671" s="35" t="n"/>
      <c r="B671" s="28" t="n"/>
      <c r="C671" s="32">
        <f>IF(B671="","",IFERROR(INDEX(Inventario!$B$5:$B$200,MATCH(B671,Inventario!$A$5:$A$200,0)),"SKU no existe"))</f>
        <v/>
      </c>
      <c r="D671" s="28" t="n"/>
      <c r="E671" s="28" t="n"/>
      <c r="F671" s="28" t="n"/>
    </row>
    <row r="672" ht="15" customHeight="1" s="19">
      <c r="A672" s="35" t="n"/>
      <c r="B672" s="28" t="n"/>
      <c r="C672" s="32">
        <f>IF(B672="","",IFERROR(INDEX(Inventario!$B$5:$B$200,MATCH(B672,Inventario!$A$5:$A$200,0)),"SKU no existe"))</f>
        <v/>
      </c>
      <c r="D672" s="28" t="n"/>
      <c r="E672" s="28" t="n"/>
      <c r="F672" s="28" t="n"/>
    </row>
    <row r="673" ht="15" customHeight="1" s="19">
      <c r="A673" s="35" t="n"/>
      <c r="B673" s="28" t="n"/>
      <c r="C673" s="32">
        <f>IF(B673="","",IFERROR(INDEX(Inventario!$B$5:$B$200,MATCH(B673,Inventario!$A$5:$A$200,0)),"SKU no existe"))</f>
        <v/>
      </c>
      <c r="D673" s="28" t="n"/>
      <c r="E673" s="28" t="n"/>
      <c r="F673" s="28" t="n"/>
    </row>
    <row r="674" ht="15" customHeight="1" s="19">
      <c r="A674" s="35" t="n"/>
      <c r="B674" s="28" t="n"/>
      <c r="C674" s="32">
        <f>IF(B674="","",IFERROR(INDEX(Inventario!$B$5:$B$200,MATCH(B674,Inventario!$A$5:$A$200,0)),"SKU no existe"))</f>
        <v/>
      </c>
      <c r="D674" s="28" t="n"/>
      <c r="E674" s="28" t="n"/>
      <c r="F674" s="28" t="n"/>
    </row>
    <row r="675" ht="15" customHeight="1" s="19">
      <c r="A675" s="35" t="n"/>
      <c r="B675" s="28" t="n"/>
      <c r="C675" s="32">
        <f>IF(B675="","",IFERROR(INDEX(Inventario!$B$5:$B$200,MATCH(B675,Inventario!$A$5:$A$200,0)),"SKU no existe"))</f>
        <v/>
      </c>
      <c r="D675" s="28" t="n"/>
      <c r="E675" s="28" t="n"/>
      <c r="F675" s="28" t="n"/>
    </row>
    <row r="676" ht="15" customHeight="1" s="19">
      <c r="A676" s="35" t="n"/>
      <c r="B676" s="28" t="n"/>
      <c r="C676" s="32">
        <f>IF(B676="","",IFERROR(INDEX(Inventario!$B$5:$B$200,MATCH(B676,Inventario!$A$5:$A$200,0)),"SKU no existe"))</f>
        <v/>
      </c>
      <c r="D676" s="28" t="n"/>
      <c r="E676" s="28" t="n"/>
      <c r="F676" s="28" t="n"/>
    </row>
    <row r="677" ht="15" customHeight="1" s="19">
      <c r="A677" s="35" t="n"/>
      <c r="B677" s="28" t="n"/>
      <c r="C677" s="32">
        <f>IF(B677="","",IFERROR(INDEX(Inventario!$B$5:$B$200,MATCH(B677,Inventario!$A$5:$A$200,0)),"SKU no existe"))</f>
        <v/>
      </c>
      <c r="D677" s="28" t="n"/>
      <c r="E677" s="28" t="n"/>
      <c r="F677" s="28" t="n"/>
    </row>
    <row r="678" ht="15" customHeight="1" s="19">
      <c r="A678" s="35" t="n"/>
      <c r="B678" s="28" t="n"/>
      <c r="C678" s="32">
        <f>IF(B678="","",IFERROR(INDEX(Inventario!$B$5:$B$200,MATCH(B678,Inventario!$A$5:$A$200,0)),"SKU no existe"))</f>
        <v/>
      </c>
      <c r="D678" s="28" t="n"/>
      <c r="E678" s="28" t="n"/>
      <c r="F678" s="28" t="n"/>
    </row>
    <row r="679" ht="15" customHeight="1" s="19">
      <c r="A679" s="35" t="n"/>
      <c r="B679" s="28" t="n"/>
      <c r="C679" s="32">
        <f>IF(B679="","",IFERROR(INDEX(Inventario!$B$5:$B$200,MATCH(B679,Inventario!$A$5:$A$200,0)),"SKU no existe"))</f>
        <v/>
      </c>
      <c r="D679" s="28" t="n"/>
      <c r="E679" s="28" t="n"/>
      <c r="F679" s="28" t="n"/>
    </row>
    <row r="680" ht="15" customHeight="1" s="19">
      <c r="A680" s="35" t="n"/>
      <c r="B680" s="28" t="n"/>
      <c r="C680" s="32">
        <f>IF(B680="","",IFERROR(INDEX(Inventario!$B$5:$B$200,MATCH(B680,Inventario!$A$5:$A$200,0)),"SKU no existe"))</f>
        <v/>
      </c>
      <c r="D680" s="28" t="n"/>
      <c r="E680" s="28" t="n"/>
      <c r="F680" s="28" t="n"/>
    </row>
    <row r="681" ht="15" customHeight="1" s="19">
      <c r="A681" s="35" t="n"/>
      <c r="B681" s="28" t="n"/>
      <c r="C681" s="32">
        <f>IF(B681="","",IFERROR(INDEX(Inventario!$B$5:$B$200,MATCH(B681,Inventario!$A$5:$A$200,0)),"SKU no existe"))</f>
        <v/>
      </c>
      <c r="D681" s="28" t="n"/>
      <c r="E681" s="28" t="n"/>
      <c r="F681" s="28" t="n"/>
    </row>
    <row r="682" ht="15" customHeight="1" s="19">
      <c r="A682" s="35" t="n"/>
      <c r="B682" s="28" t="n"/>
      <c r="C682" s="32">
        <f>IF(B682="","",IFERROR(INDEX(Inventario!$B$5:$B$200,MATCH(B682,Inventario!$A$5:$A$200,0)),"SKU no existe"))</f>
        <v/>
      </c>
      <c r="D682" s="28" t="n"/>
      <c r="E682" s="28" t="n"/>
      <c r="F682" s="28" t="n"/>
    </row>
    <row r="683" ht="15" customHeight="1" s="19">
      <c r="A683" s="35" t="n"/>
      <c r="B683" s="28" t="n"/>
      <c r="C683" s="32">
        <f>IF(B683="","",IFERROR(INDEX(Inventario!$B$5:$B$200,MATCH(B683,Inventario!$A$5:$A$200,0)),"SKU no existe"))</f>
        <v/>
      </c>
      <c r="D683" s="28" t="n"/>
      <c r="E683" s="28" t="n"/>
      <c r="F683" s="28" t="n"/>
    </row>
    <row r="684" ht="15" customHeight="1" s="19">
      <c r="A684" s="35" t="n"/>
      <c r="B684" s="28" t="n"/>
      <c r="C684" s="32">
        <f>IF(B684="","",IFERROR(INDEX(Inventario!$B$5:$B$200,MATCH(B684,Inventario!$A$5:$A$200,0)),"SKU no existe"))</f>
        <v/>
      </c>
      <c r="D684" s="28" t="n"/>
      <c r="E684" s="28" t="n"/>
      <c r="F684" s="28" t="n"/>
    </row>
    <row r="685" ht="15" customHeight="1" s="19">
      <c r="A685" s="35" t="n"/>
      <c r="B685" s="28" t="n"/>
      <c r="C685" s="32">
        <f>IF(B685="","",IFERROR(INDEX(Inventario!$B$5:$B$200,MATCH(B685,Inventario!$A$5:$A$200,0)),"SKU no existe"))</f>
        <v/>
      </c>
      <c r="D685" s="28" t="n"/>
      <c r="E685" s="28" t="n"/>
      <c r="F685" s="28" t="n"/>
    </row>
    <row r="686" ht="15" customHeight="1" s="19">
      <c r="A686" s="35" t="n"/>
      <c r="B686" s="28" t="n"/>
      <c r="C686" s="32">
        <f>IF(B686="","",IFERROR(INDEX(Inventario!$B$5:$B$200,MATCH(B686,Inventario!$A$5:$A$200,0)),"SKU no existe"))</f>
        <v/>
      </c>
      <c r="D686" s="28" t="n"/>
      <c r="E686" s="28" t="n"/>
      <c r="F686" s="28" t="n"/>
    </row>
    <row r="687" ht="15" customHeight="1" s="19">
      <c r="A687" s="35" t="n"/>
      <c r="B687" s="28" t="n"/>
      <c r="C687" s="32">
        <f>IF(B687="","",IFERROR(INDEX(Inventario!$B$5:$B$200,MATCH(B687,Inventario!$A$5:$A$200,0)),"SKU no existe"))</f>
        <v/>
      </c>
      <c r="D687" s="28" t="n"/>
      <c r="E687" s="28" t="n"/>
      <c r="F687" s="28" t="n"/>
    </row>
    <row r="688" ht="15" customHeight="1" s="19">
      <c r="A688" s="35" t="n"/>
      <c r="B688" s="28" t="n"/>
      <c r="C688" s="32">
        <f>IF(B688="","",IFERROR(INDEX(Inventario!$B$5:$B$200,MATCH(B688,Inventario!$A$5:$A$200,0)),"SKU no existe"))</f>
        <v/>
      </c>
      <c r="D688" s="28" t="n"/>
      <c r="E688" s="28" t="n"/>
      <c r="F688" s="28" t="n"/>
    </row>
    <row r="689" ht="15" customHeight="1" s="19">
      <c r="A689" s="35" t="n"/>
      <c r="B689" s="28" t="n"/>
      <c r="C689" s="32">
        <f>IF(B689="","",IFERROR(INDEX(Inventario!$B$5:$B$200,MATCH(B689,Inventario!$A$5:$A$200,0)),"SKU no existe"))</f>
        <v/>
      </c>
      <c r="D689" s="28" t="n"/>
      <c r="E689" s="28" t="n"/>
      <c r="F689" s="28" t="n"/>
    </row>
    <row r="690" ht="15" customHeight="1" s="19">
      <c r="A690" s="35" t="n"/>
      <c r="B690" s="28" t="n"/>
      <c r="C690" s="32">
        <f>IF(B690="","",IFERROR(INDEX(Inventario!$B$5:$B$200,MATCH(B690,Inventario!$A$5:$A$200,0)),"SKU no existe"))</f>
        <v/>
      </c>
      <c r="D690" s="28" t="n"/>
      <c r="E690" s="28" t="n"/>
      <c r="F690" s="28" t="n"/>
    </row>
    <row r="691" ht="15" customHeight="1" s="19">
      <c r="A691" s="35" t="n"/>
      <c r="B691" s="28" t="n"/>
      <c r="C691" s="32">
        <f>IF(B691="","",IFERROR(INDEX(Inventario!$B$5:$B$200,MATCH(B691,Inventario!$A$5:$A$200,0)),"SKU no existe"))</f>
        <v/>
      </c>
      <c r="D691" s="28" t="n"/>
      <c r="E691" s="28" t="n"/>
      <c r="F691" s="28" t="n"/>
    </row>
    <row r="692" ht="15" customHeight="1" s="19">
      <c r="A692" s="35" t="n"/>
      <c r="B692" s="28" t="n"/>
      <c r="C692" s="32">
        <f>IF(B692="","",IFERROR(INDEX(Inventario!$B$5:$B$200,MATCH(B692,Inventario!$A$5:$A$200,0)),"SKU no existe"))</f>
        <v/>
      </c>
      <c r="D692" s="28" t="n"/>
      <c r="E692" s="28" t="n"/>
      <c r="F692" s="28" t="n"/>
    </row>
    <row r="693" ht="15" customHeight="1" s="19">
      <c r="A693" s="35" t="n"/>
      <c r="B693" s="28" t="n"/>
      <c r="C693" s="32">
        <f>IF(B693="","",IFERROR(INDEX(Inventario!$B$5:$B$200,MATCH(B693,Inventario!$A$5:$A$200,0)),"SKU no existe"))</f>
        <v/>
      </c>
      <c r="D693" s="28" t="n"/>
      <c r="E693" s="28" t="n"/>
      <c r="F693" s="28" t="n"/>
    </row>
    <row r="694" ht="15" customHeight="1" s="19">
      <c r="A694" s="35" t="n"/>
      <c r="B694" s="28" t="n"/>
      <c r="C694" s="32">
        <f>IF(B694="","",IFERROR(INDEX(Inventario!$B$5:$B$200,MATCH(B694,Inventario!$A$5:$A$200,0)),"SKU no existe"))</f>
        <v/>
      </c>
      <c r="D694" s="28" t="n"/>
      <c r="E694" s="28" t="n"/>
      <c r="F694" s="28" t="n"/>
    </row>
    <row r="695" ht="15" customHeight="1" s="19">
      <c r="A695" s="35" t="n"/>
      <c r="B695" s="28" t="n"/>
      <c r="C695" s="32">
        <f>IF(B695="","",IFERROR(INDEX(Inventario!$B$5:$B$200,MATCH(B695,Inventario!$A$5:$A$200,0)),"SKU no existe"))</f>
        <v/>
      </c>
      <c r="D695" s="28" t="n"/>
      <c r="E695" s="28" t="n"/>
      <c r="F695" s="28" t="n"/>
    </row>
    <row r="696" ht="15" customHeight="1" s="19">
      <c r="A696" s="35" t="n"/>
      <c r="B696" s="28" t="n"/>
      <c r="C696" s="32">
        <f>IF(B696="","",IFERROR(INDEX(Inventario!$B$5:$B$200,MATCH(B696,Inventario!$A$5:$A$200,0)),"SKU no existe"))</f>
        <v/>
      </c>
      <c r="D696" s="28" t="n"/>
      <c r="E696" s="28" t="n"/>
      <c r="F696" s="28" t="n"/>
    </row>
    <row r="697" ht="15" customHeight="1" s="19">
      <c r="A697" s="35" t="n"/>
      <c r="B697" s="28" t="n"/>
      <c r="C697" s="32">
        <f>IF(B697="","",IFERROR(INDEX(Inventario!$B$5:$B$200,MATCH(B697,Inventario!$A$5:$A$200,0)),"SKU no existe"))</f>
        <v/>
      </c>
      <c r="D697" s="28" t="n"/>
      <c r="E697" s="28" t="n"/>
      <c r="F697" s="28" t="n"/>
    </row>
    <row r="698" ht="15" customHeight="1" s="19">
      <c r="A698" s="35" t="n"/>
      <c r="B698" s="28" t="n"/>
      <c r="C698" s="32">
        <f>IF(B698="","",IFERROR(INDEX(Inventario!$B$5:$B$200,MATCH(B698,Inventario!$A$5:$A$200,0)),"SKU no existe"))</f>
        <v/>
      </c>
      <c r="D698" s="28" t="n"/>
      <c r="E698" s="28" t="n"/>
      <c r="F698" s="28" t="n"/>
    </row>
    <row r="699" ht="15" customHeight="1" s="19">
      <c r="A699" s="35" t="n"/>
      <c r="B699" s="28" t="n"/>
      <c r="C699" s="32">
        <f>IF(B699="","",IFERROR(INDEX(Inventario!$B$5:$B$200,MATCH(B699,Inventario!$A$5:$A$200,0)),"SKU no existe"))</f>
        <v/>
      </c>
      <c r="D699" s="28" t="n"/>
      <c r="E699" s="28" t="n"/>
      <c r="F699" s="28" t="n"/>
    </row>
    <row r="700" ht="15" customHeight="1" s="19">
      <c r="A700" s="35" t="n"/>
      <c r="B700" s="28" t="n"/>
      <c r="C700" s="32">
        <f>IF(B700="","",IFERROR(INDEX(Inventario!$B$5:$B$200,MATCH(B700,Inventario!$A$5:$A$200,0)),"SKU no existe"))</f>
        <v/>
      </c>
      <c r="D700" s="28" t="n"/>
      <c r="E700" s="28" t="n"/>
      <c r="F700" s="28" t="n"/>
    </row>
    <row r="701" ht="15" customHeight="1" s="19">
      <c r="A701" s="35" t="n"/>
      <c r="B701" s="28" t="n"/>
      <c r="C701" s="32">
        <f>IF(B701="","",IFERROR(INDEX(Inventario!$B$5:$B$200,MATCH(B701,Inventario!$A$5:$A$200,0)),"SKU no existe"))</f>
        <v/>
      </c>
      <c r="D701" s="28" t="n"/>
      <c r="E701" s="28" t="n"/>
      <c r="F701" s="28" t="n"/>
    </row>
    <row r="702" ht="15" customHeight="1" s="19">
      <c r="A702" s="35" t="n"/>
      <c r="B702" s="28" t="n"/>
      <c r="C702" s="32">
        <f>IF(B702="","",IFERROR(INDEX(Inventario!$B$5:$B$200,MATCH(B702,Inventario!$A$5:$A$200,0)),"SKU no existe"))</f>
        <v/>
      </c>
      <c r="D702" s="28" t="n"/>
      <c r="E702" s="28" t="n"/>
      <c r="F702" s="28" t="n"/>
    </row>
    <row r="703" ht="15" customHeight="1" s="19">
      <c r="A703" s="35" t="n"/>
      <c r="B703" s="28" t="n"/>
      <c r="C703" s="32">
        <f>IF(B703="","",IFERROR(INDEX(Inventario!$B$5:$B$200,MATCH(B703,Inventario!$A$5:$A$200,0)),"SKU no existe"))</f>
        <v/>
      </c>
      <c r="D703" s="28" t="n"/>
      <c r="E703" s="28" t="n"/>
      <c r="F703" s="28" t="n"/>
    </row>
    <row r="704" ht="15" customHeight="1" s="19">
      <c r="A704" s="35" t="n"/>
      <c r="B704" s="28" t="n"/>
      <c r="C704" s="32">
        <f>IF(B704="","",IFERROR(INDEX(Inventario!$B$5:$B$200,MATCH(B704,Inventario!$A$5:$A$200,0)),"SKU no existe"))</f>
        <v/>
      </c>
      <c r="D704" s="28" t="n"/>
      <c r="E704" s="28" t="n"/>
      <c r="F704" s="28" t="n"/>
    </row>
    <row r="705" ht="15" customHeight="1" s="19">
      <c r="A705" s="35" t="n"/>
      <c r="B705" s="28" t="n"/>
      <c r="C705" s="32">
        <f>IF(B705="","",IFERROR(INDEX(Inventario!$B$5:$B$200,MATCH(B705,Inventario!$A$5:$A$200,0)),"SKU no existe"))</f>
        <v/>
      </c>
      <c r="D705" s="28" t="n"/>
      <c r="E705" s="28" t="n"/>
      <c r="F705" s="28" t="n"/>
    </row>
    <row r="706" ht="15" customHeight="1" s="19">
      <c r="A706" s="35" t="n"/>
      <c r="B706" s="28" t="n"/>
      <c r="C706" s="32">
        <f>IF(B706="","",IFERROR(INDEX(Inventario!$B$5:$B$200,MATCH(B706,Inventario!$A$5:$A$200,0)),"SKU no existe"))</f>
        <v/>
      </c>
      <c r="D706" s="28" t="n"/>
      <c r="E706" s="28" t="n"/>
      <c r="F706" s="28" t="n"/>
    </row>
    <row r="707" ht="15" customHeight="1" s="19">
      <c r="A707" s="35" t="n"/>
      <c r="B707" s="28" t="n"/>
      <c r="C707" s="32">
        <f>IF(B707="","",IFERROR(INDEX(Inventario!$B$5:$B$200,MATCH(B707,Inventario!$A$5:$A$200,0)),"SKU no existe"))</f>
        <v/>
      </c>
      <c r="D707" s="28" t="n"/>
      <c r="E707" s="28" t="n"/>
      <c r="F707" s="28" t="n"/>
    </row>
    <row r="708" ht="15" customHeight="1" s="19">
      <c r="A708" s="35" t="n"/>
      <c r="B708" s="28" t="n"/>
      <c r="C708" s="32">
        <f>IF(B708="","",IFERROR(INDEX(Inventario!$B$5:$B$200,MATCH(B708,Inventario!$A$5:$A$200,0)),"SKU no existe"))</f>
        <v/>
      </c>
      <c r="D708" s="28" t="n"/>
      <c r="E708" s="28" t="n"/>
      <c r="F708" s="28" t="n"/>
    </row>
    <row r="709" ht="15" customHeight="1" s="19">
      <c r="A709" s="35" t="n"/>
      <c r="B709" s="28" t="n"/>
      <c r="C709" s="32">
        <f>IF(B709="","",IFERROR(INDEX(Inventario!$B$5:$B$200,MATCH(B709,Inventario!$A$5:$A$200,0)),"SKU no existe"))</f>
        <v/>
      </c>
      <c r="D709" s="28" t="n"/>
      <c r="E709" s="28" t="n"/>
      <c r="F709" s="28" t="n"/>
    </row>
    <row r="710" ht="15" customHeight="1" s="19">
      <c r="A710" s="35" t="n"/>
      <c r="B710" s="28" t="n"/>
      <c r="C710" s="32">
        <f>IF(B710="","",IFERROR(INDEX(Inventario!$B$5:$B$200,MATCH(B710,Inventario!$A$5:$A$200,0)),"SKU no existe"))</f>
        <v/>
      </c>
      <c r="D710" s="28" t="n"/>
      <c r="E710" s="28" t="n"/>
      <c r="F710" s="28" t="n"/>
    </row>
    <row r="711" ht="15" customHeight="1" s="19">
      <c r="A711" s="35" t="n"/>
      <c r="B711" s="28" t="n"/>
      <c r="C711" s="32">
        <f>IF(B711="","",IFERROR(INDEX(Inventario!$B$5:$B$200,MATCH(B711,Inventario!$A$5:$A$200,0)),"SKU no existe"))</f>
        <v/>
      </c>
      <c r="D711" s="28" t="n"/>
      <c r="E711" s="28" t="n"/>
      <c r="F711" s="28" t="n"/>
    </row>
    <row r="712" ht="15" customHeight="1" s="19">
      <c r="A712" s="35" t="n"/>
      <c r="B712" s="28" t="n"/>
      <c r="C712" s="32">
        <f>IF(B712="","",IFERROR(INDEX(Inventario!$B$5:$B$200,MATCH(B712,Inventario!$A$5:$A$200,0)),"SKU no existe"))</f>
        <v/>
      </c>
      <c r="D712" s="28" t="n"/>
      <c r="E712" s="28" t="n"/>
      <c r="F712" s="28" t="n"/>
    </row>
    <row r="713" ht="15" customHeight="1" s="19">
      <c r="A713" s="35" t="n"/>
      <c r="B713" s="28" t="n"/>
      <c r="C713" s="32">
        <f>IF(B713="","",IFERROR(INDEX(Inventario!$B$5:$B$200,MATCH(B713,Inventario!$A$5:$A$200,0)),"SKU no existe"))</f>
        <v/>
      </c>
      <c r="D713" s="28" t="n"/>
      <c r="E713" s="28" t="n"/>
      <c r="F713" s="28" t="n"/>
    </row>
    <row r="714" ht="15" customHeight="1" s="19">
      <c r="A714" s="35" t="n"/>
      <c r="B714" s="28" t="n"/>
      <c r="C714" s="32">
        <f>IF(B714="","",IFERROR(INDEX(Inventario!$B$5:$B$200,MATCH(B714,Inventario!$A$5:$A$200,0)),"SKU no existe"))</f>
        <v/>
      </c>
      <c r="D714" s="28" t="n"/>
      <c r="E714" s="28" t="n"/>
      <c r="F714" s="28" t="n"/>
    </row>
    <row r="715" ht="15" customHeight="1" s="19">
      <c r="A715" s="35" t="n"/>
      <c r="B715" s="28" t="n"/>
      <c r="C715" s="32">
        <f>IF(B715="","",IFERROR(INDEX(Inventario!$B$5:$B$200,MATCH(B715,Inventario!$A$5:$A$200,0)),"SKU no existe"))</f>
        <v/>
      </c>
      <c r="D715" s="28" t="n"/>
      <c r="E715" s="28" t="n"/>
      <c r="F715" s="28" t="n"/>
    </row>
    <row r="716" ht="15" customHeight="1" s="19">
      <c r="A716" s="35" t="n"/>
      <c r="B716" s="28" t="n"/>
      <c r="C716" s="32">
        <f>IF(B716="","",IFERROR(INDEX(Inventario!$B$5:$B$200,MATCH(B716,Inventario!$A$5:$A$200,0)),"SKU no existe"))</f>
        <v/>
      </c>
      <c r="D716" s="28" t="n"/>
      <c r="E716" s="28" t="n"/>
      <c r="F716" s="28" t="n"/>
    </row>
    <row r="717" ht="15" customHeight="1" s="19">
      <c r="A717" s="35" t="n"/>
      <c r="B717" s="28" t="n"/>
      <c r="C717" s="32">
        <f>IF(B717="","",IFERROR(INDEX(Inventario!$B$5:$B$200,MATCH(B717,Inventario!$A$5:$A$200,0)),"SKU no existe"))</f>
        <v/>
      </c>
      <c r="D717" s="28" t="n"/>
      <c r="E717" s="28" t="n"/>
      <c r="F717" s="28" t="n"/>
    </row>
    <row r="718" ht="15" customHeight="1" s="19">
      <c r="A718" s="35" t="n"/>
      <c r="B718" s="28" t="n"/>
      <c r="C718" s="32">
        <f>IF(B718="","",IFERROR(INDEX(Inventario!$B$5:$B$200,MATCH(B718,Inventario!$A$5:$A$200,0)),"SKU no existe"))</f>
        <v/>
      </c>
      <c r="D718" s="28" t="n"/>
      <c r="E718" s="28" t="n"/>
      <c r="F718" s="28" t="n"/>
    </row>
    <row r="719" ht="15" customHeight="1" s="19">
      <c r="A719" s="35" t="n"/>
      <c r="B719" s="28" t="n"/>
      <c r="C719" s="32">
        <f>IF(B719="","",IFERROR(INDEX(Inventario!$B$5:$B$200,MATCH(B719,Inventario!$A$5:$A$200,0)),"SKU no existe"))</f>
        <v/>
      </c>
      <c r="D719" s="28" t="n"/>
      <c r="E719" s="28" t="n"/>
      <c r="F719" s="28" t="n"/>
    </row>
    <row r="720" ht="15" customHeight="1" s="19">
      <c r="A720" s="35" t="n"/>
      <c r="B720" s="28" t="n"/>
      <c r="C720" s="32">
        <f>IF(B720="","",IFERROR(INDEX(Inventario!$B$5:$B$200,MATCH(B720,Inventario!$A$5:$A$200,0)),"SKU no existe"))</f>
        <v/>
      </c>
      <c r="D720" s="28" t="n"/>
      <c r="E720" s="28" t="n"/>
      <c r="F720" s="28" t="n"/>
    </row>
    <row r="721" ht="15" customHeight="1" s="19">
      <c r="A721" s="35" t="n"/>
      <c r="B721" s="28" t="n"/>
      <c r="C721" s="32">
        <f>IF(B721="","",IFERROR(INDEX(Inventario!$B$5:$B$200,MATCH(B721,Inventario!$A$5:$A$200,0)),"SKU no existe"))</f>
        <v/>
      </c>
      <c r="D721" s="28" t="n"/>
      <c r="E721" s="28" t="n"/>
      <c r="F721" s="28" t="n"/>
    </row>
    <row r="722" ht="15" customHeight="1" s="19">
      <c r="A722" s="35" t="n"/>
      <c r="B722" s="28" t="n"/>
      <c r="C722" s="32">
        <f>IF(B722="","",IFERROR(INDEX(Inventario!$B$5:$B$200,MATCH(B722,Inventario!$A$5:$A$200,0)),"SKU no existe"))</f>
        <v/>
      </c>
      <c r="D722" s="28" t="n"/>
      <c r="E722" s="28" t="n"/>
      <c r="F722" s="28" t="n"/>
    </row>
    <row r="723" ht="15" customHeight="1" s="19">
      <c r="A723" s="35" t="n"/>
      <c r="B723" s="28" t="n"/>
      <c r="C723" s="32">
        <f>IF(B723="","",IFERROR(INDEX(Inventario!$B$5:$B$200,MATCH(B723,Inventario!$A$5:$A$200,0)),"SKU no existe"))</f>
        <v/>
      </c>
      <c r="D723" s="28" t="n"/>
      <c r="E723" s="28" t="n"/>
      <c r="F723" s="28" t="n"/>
    </row>
    <row r="724" ht="15" customHeight="1" s="19">
      <c r="A724" s="35" t="n"/>
      <c r="B724" s="28" t="n"/>
      <c r="C724" s="32">
        <f>IF(B724="","",IFERROR(INDEX(Inventario!$B$5:$B$200,MATCH(B724,Inventario!$A$5:$A$200,0)),"SKU no existe"))</f>
        <v/>
      </c>
      <c r="D724" s="28" t="n"/>
      <c r="E724" s="28" t="n"/>
      <c r="F724" s="28" t="n"/>
    </row>
    <row r="725" ht="15" customHeight="1" s="19">
      <c r="A725" s="35" t="n"/>
      <c r="B725" s="28" t="n"/>
      <c r="C725" s="32">
        <f>IF(B725="","",IFERROR(INDEX(Inventario!$B$5:$B$200,MATCH(B725,Inventario!$A$5:$A$200,0)),"SKU no existe"))</f>
        <v/>
      </c>
      <c r="D725" s="28" t="n"/>
      <c r="E725" s="28" t="n"/>
      <c r="F725" s="28" t="n"/>
    </row>
    <row r="726" ht="15" customHeight="1" s="19">
      <c r="A726" s="35" t="n"/>
      <c r="B726" s="28" t="n"/>
      <c r="C726" s="32">
        <f>IF(B726="","",IFERROR(INDEX(Inventario!$B$5:$B$200,MATCH(B726,Inventario!$A$5:$A$200,0)),"SKU no existe"))</f>
        <v/>
      </c>
      <c r="D726" s="28" t="n"/>
      <c r="E726" s="28" t="n"/>
      <c r="F726" s="28" t="n"/>
    </row>
    <row r="727" ht="15" customHeight="1" s="19">
      <c r="A727" s="35" t="n"/>
      <c r="B727" s="28" t="n"/>
      <c r="C727" s="32">
        <f>IF(B727="","",IFERROR(INDEX(Inventario!$B$5:$B$200,MATCH(B727,Inventario!$A$5:$A$200,0)),"SKU no existe"))</f>
        <v/>
      </c>
      <c r="D727" s="28" t="n"/>
      <c r="E727" s="28" t="n"/>
      <c r="F727" s="28" t="n"/>
    </row>
    <row r="728" ht="15" customHeight="1" s="19">
      <c r="A728" s="35" t="n"/>
      <c r="B728" s="28" t="n"/>
      <c r="C728" s="32">
        <f>IF(B728="","",IFERROR(INDEX(Inventario!$B$5:$B$200,MATCH(B728,Inventario!$A$5:$A$200,0)),"SKU no existe"))</f>
        <v/>
      </c>
      <c r="D728" s="28" t="n"/>
      <c r="E728" s="28" t="n"/>
      <c r="F728" s="28" t="n"/>
    </row>
    <row r="729" ht="15" customHeight="1" s="19">
      <c r="A729" s="35" t="n"/>
      <c r="B729" s="28" t="n"/>
      <c r="C729" s="32">
        <f>IF(B729="","",IFERROR(INDEX(Inventario!$B$5:$B$200,MATCH(B729,Inventario!$A$5:$A$200,0)),"SKU no existe"))</f>
        <v/>
      </c>
      <c r="D729" s="28" t="n"/>
      <c r="E729" s="28" t="n"/>
      <c r="F729" s="28" t="n"/>
    </row>
    <row r="730" ht="15" customHeight="1" s="19">
      <c r="A730" s="35" t="n"/>
      <c r="B730" s="28" t="n"/>
      <c r="C730" s="32">
        <f>IF(B730="","",IFERROR(INDEX(Inventario!$B$5:$B$200,MATCH(B730,Inventario!$A$5:$A$200,0)),"SKU no existe"))</f>
        <v/>
      </c>
      <c r="D730" s="28" t="n"/>
      <c r="E730" s="28" t="n"/>
      <c r="F730" s="28" t="n"/>
    </row>
    <row r="731" ht="15" customHeight="1" s="19">
      <c r="A731" s="35" t="n"/>
      <c r="B731" s="28" t="n"/>
      <c r="C731" s="32">
        <f>IF(B731="","",IFERROR(INDEX(Inventario!$B$5:$B$200,MATCH(B731,Inventario!$A$5:$A$200,0)),"SKU no existe"))</f>
        <v/>
      </c>
      <c r="D731" s="28" t="n"/>
      <c r="E731" s="28" t="n"/>
      <c r="F731" s="28" t="n"/>
    </row>
    <row r="732" ht="15" customHeight="1" s="19">
      <c r="A732" s="35" t="n"/>
      <c r="B732" s="28" t="n"/>
      <c r="C732" s="32">
        <f>IF(B732="","",IFERROR(INDEX(Inventario!$B$5:$B$200,MATCH(B732,Inventario!$A$5:$A$200,0)),"SKU no existe"))</f>
        <v/>
      </c>
      <c r="D732" s="28" t="n"/>
      <c r="E732" s="28" t="n"/>
      <c r="F732" s="28" t="n"/>
    </row>
    <row r="733" ht="15" customHeight="1" s="19">
      <c r="A733" s="35" t="n"/>
      <c r="B733" s="28" t="n"/>
      <c r="C733" s="32">
        <f>IF(B733="","",IFERROR(INDEX(Inventario!$B$5:$B$200,MATCH(B733,Inventario!$A$5:$A$200,0)),"SKU no existe"))</f>
        <v/>
      </c>
      <c r="D733" s="28" t="n"/>
      <c r="E733" s="28" t="n"/>
      <c r="F733" s="28" t="n"/>
    </row>
    <row r="734" ht="15" customHeight="1" s="19">
      <c r="A734" s="35" t="n"/>
      <c r="B734" s="28" t="n"/>
      <c r="C734" s="32">
        <f>IF(B734="","",IFERROR(INDEX(Inventario!$B$5:$B$200,MATCH(B734,Inventario!$A$5:$A$200,0)),"SKU no existe"))</f>
        <v/>
      </c>
      <c r="D734" s="28" t="n"/>
      <c r="E734" s="28" t="n"/>
      <c r="F734" s="28" t="n"/>
    </row>
    <row r="735" ht="15" customHeight="1" s="19">
      <c r="A735" s="35" t="n"/>
      <c r="B735" s="28" t="n"/>
      <c r="C735" s="32">
        <f>IF(B735="","",IFERROR(INDEX(Inventario!$B$5:$B$200,MATCH(B735,Inventario!$A$5:$A$200,0)),"SKU no existe"))</f>
        <v/>
      </c>
      <c r="D735" s="28" t="n"/>
      <c r="E735" s="28" t="n"/>
      <c r="F735" s="28" t="n"/>
    </row>
    <row r="736" ht="15" customHeight="1" s="19">
      <c r="A736" s="35" t="n"/>
      <c r="B736" s="28" t="n"/>
      <c r="C736" s="32">
        <f>IF(B736="","",IFERROR(INDEX(Inventario!$B$5:$B$200,MATCH(B736,Inventario!$A$5:$A$200,0)),"SKU no existe"))</f>
        <v/>
      </c>
      <c r="D736" s="28" t="n"/>
      <c r="E736" s="28" t="n"/>
      <c r="F736" s="28" t="n"/>
    </row>
    <row r="737" ht="15" customHeight="1" s="19">
      <c r="A737" s="35" t="n"/>
      <c r="B737" s="28" t="n"/>
      <c r="C737" s="32">
        <f>IF(B737="","",IFERROR(INDEX(Inventario!$B$5:$B$200,MATCH(B737,Inventario!$A$5:$A$200,0)),"SKU no existe"))</f>
        <v/>
      </c>
      <c r="D737" s="28" t="n"/>
      <c r="E737" s="28" t="n"/>
      <c r="F737" s="28" t="n"/>
    </row>
    <row r="738" ht="15" customHeight="1" s="19">
      <c r="A738" s="35" t="n"/>
      <c r="B738" s="28" t="n"/>
      <c r="C738" s="32">
        <f>IF(B738="","",IFERROR(INDEX(Inventario!$B$5:$B$200,MATCH(B738,Inventario!$A$5:$A$200,0)),"SKU no existe"))</f>
        <v/>
      </c>
      <c r="D738" s="28" t="n"/>
      <c r="E738" s="28" t="n"/>
      <c r="F738" s="28" t="n"/>
    </row>
    <row r="739" ht="15" customHeight="1" s="19">
      <c r="A739" s="35" t="n"/>
      <c r="B739" s="28" t="n"/>
      <c r="C739" s="32">
        <f>IF(B739="","",IFERROR(INDEX(Inventario!$B$5:$B$200,MATCH(B739,Inventario!$A$5:$A$200,0)),"SKU no existe"))</f>
        <v/>
      </c>
      <c r="D739" s="28" t="n"/>
      <c r="E739" s="28" t="n"/>
      <c r="F739" s="28" t="n"/>
    </row>
    <row r="740" ht="15" customHeight="1" s="19">
      <c r="A740" s="35" t="n"/>
      <c r="B740" s="28" t="n"/>
      <c r="C740" s="32">
        <f>IF(B740="","",IFERROR(INDEX(Inventario!$B$5:$B$200,MATCH(B740,Inventario!$A$5:$A$200,0)),"SKU no existe"))</f>
        <v/>
      </c>
      <c r="D740" s="28" t="n"/>
      <c r="E740" s="28" t="n"/>
      <c r="F740" s="28" t="n"/>
    </row>
    <row r="741" ht="15" customHeight="1" s="19">
      <c r="A741" s="35" t="n"/>
      <c r="B741" s="28" t="n"/>
      <c r="C741" s="32">
        <f>IF(B741="","",IFERROR(INDEX(Inventario!$B$5:$B$200,MATCH(B741,Inventario!$A$5:$A$200,0)),"SKU no existe"))</f>
        <v/>
      </c>
      <c r="D741" s="28" t="n"/>
      <c r="E741" s="28" t="n"/>
      <c r="F741" s="28" t="n"/>
    </row>
    <row r="742" ht="15" customHeight="1" s="19">
      <c r="A742" s="35" t="n"/>
      <c r="B742" s="28" t="n"/>
      <c r="C742" s="32">
        <f>IF(B742="","",IFERROR(INDEX(Inventario!$B$5:$B$200,MATCH(B742,Inventario!$A$5:$A$200,0)),"SKU no existe"))</f>
        <v/>
      </c>
      <c r="D742" s="28" t="n"/>
      <c r="E742" s="28" t="n"/>
      <c r="F742" s="28" t="n"/>
    </row>
    <row r="743" ht="15" customHeight="1" s="19">
      <c r="A743" s="35" t="n"/>
      <c r="B743" s="28" t="n"/>
      <c r="C743" s="32">
        <f>IF(B743="","",IFERROR(INDEX(Inventario!$B$5:$B$200,MATCH(B743,Inventario!$A$5:$A$200,0)),"SKU no existe"))</f>
        <v/>
      </c>
      <c r="D743" s="28" t="n"/>
      <c r="E743" s="28" t="n"/>
      <c r="F743" s="28" t="n"/>
    </row>
    <row r="744" ht="15" customHeight="1" s="19">
      <c r="A744" s="35" t="n"/>
      <c r="B744" s="28" t="n"/>
      <c r="C744" s="32">
        <f>IF(B744="","",IFERROR(INDEX(Inventario!$B$5:$B$200,MATCH(B744,Inventario!$A$5:$A$200,0)),"SKU no existe"))</f>
        <v/>
      </c>
      <c r="D744" s="28" t="n"/>
      <c r="E744" s="28" t="n"/>
      <c r="F744" s="28" t="n"/>
    </row>
    <row r="745" ht="15" customHeight="1" s="19">
      <c r="A745" s="35" t="n"/>
      <c r="B745" s="28" t="n"/>
      <c r="C745" s="32">
        <f>IF(B745="","",IFERROR(INDEX(Inventario!$B$5:$B$200,MATCH(B745,Inventario!$A$5:$A$200,0)),"SKU no existe"))</f>
        <v/>
      </c>
      <c r="D745" s="28" t="n"/>
      <c r="E745" s="28" t="n"/>
      <c r="F745" s="28" t="n"/>
    </row>
    <row r="746" ht="15" customHeight="1" s="19">
      <c r="A746" s="35" t="n"/>
      <c r="B746" s="28" t="n"/>
      <c r="C746" s="32">
        <f>IF(B746="","",IFERROR(INDEX(Inventario!$B$5:$B$200,MATCH(B746,Inventario!$A$5:$A$200,0)),"SKU no existe"))</f>
        <v/>
      </c>
      <c r="D746" s="28" t="n"/>
      <c r="E746" s="28" t="n"/>
      <c r="F746" s="28" t="n"/>
    </row>
    <row r="747" ht="15" customHeight="1" s="19">
      <c r="A747" s="35" t="n"/>
      <c r="B747" s="28" t="n"/>
      <c r="C747" s="32">
        <f>IF(B747="","",IFERROR(INDEX(Inventario!$B$5:$B$200,MATCH(B747,Inventario!$A$5:$A$200,0)),"SKU no existe"))</f>
        <v/>
      </c>
      <c r="D747" s="28" t="n"/>
      <c r="E747" s="28" t="n"/>
      <c r="F747" s="28" t="n"/>
    </row>
    <row r="748" ht="15" customHeight="1" s="19">
      <c r="A748" s="35" t="n"/>
      <c r="B748" s="28" t="n"/>
      <c r="C748" s="32">
        <f>IF(B748="","",IFERROR(INDEX(Inventario!$B$5:$B$200,MATCH(B748,Inventario!$A$5:$A$200,0)),"SKU no existe"))</f>
        <v/>
      </c>
      <c r="D748" s="28" t="n"/>
      <c r="E748" s="28" t="n"/>
      <c r="F748" s="28" t="n"/>
    </row>
    <row r="749" ht="15" customHeight="1" s="19">
      <c r="A749" s="35" t="n"/>
      <c r="B749" s="28" t="n"/>
      <c r="C749" s="32">
        <f>IF(B749="","",IFERROR(INDEX(Inventario!$B$5:$B$200,MATCH(B749,Inventario!$A$5:$A$200,0)),"SKU no existe"))</f>
        <v/>
      </c>
      <c r="D749" s="28" t="n"/>
      <c r="E749" s="28" t="n"/>
      <c r="F749" s="28" t="n"/>
    </row>
    <row r="750" ht="15" customHeight="1" s="19">
      <c r="A750" s="35" t="n"/>
      <c r="B750" s="28" t="n"/>
      <c r="C750" s="32">
        <f>IF(B750="","",IFERROR(INDEX(Inventario!$B$5:$B$200,MATCH(B750,Inventario!$A$5:$A$200,0)),"SKU no existe"))</f>
        <v/>
      </c>
      <c r="D750" s="28" t="n"/>
      <c r="E750" s="28" t="n"/>
      <c r="F750" s="28" t="n"/>
    </row>
    <row r="751" ht="15" customHeight="1" s="19">
      <c r="A751" s="35" t="n"/>
      <c r="B751" s="28" t="n"/>
      <c r="C751" s="32">
        <f>IF(B751="","",IFERROR(INDEX(Inventario!$B$5:$B$200,MATCH(B751,Inventario!$A$5:$A$200,0)),"SKU no existe"))</f>
        <v/>
      </c>
      <c r="D751" s="28" t="n"/>
      <c r="E751" s="28" t="n"/>
      <c r="F751" s="28" t="n"/>
    </row>
    <row r="752" ht="15" customHeight="1" s="19">
      <c r="A752" s="35" t="n"/>
      <c r="B752" s="28" t="n"/>
      <c r="C752" s="32">
        <f>IF(B752="","",IFERROR(INDEX(Inventario!$B$5:$B$200,MATCH(B752,Inventario!$A$5:$A$200,0)),"SKU no existe"))</f>
        <v/>
      </c>
      <c r="D752" s="28" t="n"/>
      <c r="E752" s="28" t="n"/>
      <c r="F752" s="28" t="n"/>
    </row>
    <row r="753" ht="15" customHeight="1" s="19">
      <c r="A753" s="35" t="n"/>
      <c r="B753" s="28" t="n"/>
      <c r="C753" s="32">
        <f>IF(B753="","",IFERROR(INDEX(Inventario!$B$5:$B$200,MATCH(B753,Inventario!$A$5:$A$200,0)),"SKU no existe"))</f>
        <v/>
      </c>
      <c r="D753" s="28" t="n"/>
      <c r="E753" s="28" t="n"/>
      <c r="F753" s="28" t="n"/>
    </row>
    <row r="754" ht="15" customHeight="1" s="19">
      <c r="A754" s="35" t="n"/>
      <c r="B754" s="28" t="n"/>
      <c r="C754" s="32">
        <f>IF(B754="","",IFERROR(INDEX(Inventario!$B$5:$B$200,MATCH(B754,Inventario!$A$5:$A$200,0)),"SKU no existe"))</f>
        <v/>
      </c>
      <c r="D754" s="28" t="n"/>
      <c r="E754" s="28" t="n"/>
      <c r="F754" s="28" t="n"/>
    </row>
    <row r="755" ht="15" customHeight="1" s="19">
      <c r="A755" s="35" t="n"/>
      <c r="B755" s="28" t="n"/>
      <c r="C755" s="32">
        <f>IF(B755="","",IFERROR(INDEX(Inventario!$B$5:$B$200,MATCH(B755,Inventario!$A$5:$A$200,0)),"SKU no existe"))</f>
        <v/>
      </c>
      <c r="D755" s="28" t="n"/>
      <c r="E755" s="28" t="n"/>
      <c r="F755" s="28" t="n"/>
    </row>
    <row r="756" ht="15" customHeight="1" s="19">
      <c r="A756" s="35" t="n"/>
      <c r="B756" s="28" t="n"/>
      <c r="C756" s="32">
        <f>IF(B756="","",IFERROR(INDEX(Inventario!$B$5:$B$200,MATCH(B756,Inventario!$A$5:$A$200,0)),"SKU no existe"))</f>
        <v/>
      </c>
      <c r="D756" s="28" t="n"/>
      <c r="E756" s="28" t="n"/>
      <c r="F756" s="28" t="n"/>
    </row>
    <row r="757" ht="15" customHeight="1" s="19">
      <c r="A757" s="35" t="n"/>
      <c r="B757" s="28" t="n"/>
      <c r="C757" s="32">
        <f>IF(B757="","",IFERROR(INDEX(Inventario!$B$5:$B$200,MATCH(B757,Inventario!$A$5:$A$200,0)),"SKU no existe"))</f>
        <v/>
      </c>
      <c r="D757" s="28" t="n"/>
      <c r="E757" s="28" t="n"/>
      <c r="F757" s="28" t="n"/>
    </row>
    <row r="758" ht="15" customHeight="1" s="19">
      <c r="A758" s="35" t="n"/>
      <c r="B758" s="28" t="n"/>
      <c r="C758" s="32">
        <f>IF(B758="","",IFERROR(INDEX(Inventario!$B$5:$B$200,MATCH(B758,Inventario!$A$5:$A$200,0)),"SKU no existe"))</f>
        <v/>
      </c>
      <c r="D758" s="28" t="n"/>
      <c r="E758" s="28" t="n"/>
      <c r="F758" s="28" t="n"/>
    </row>
    <row r="759" ht="15" customHeight="1" s="19">
      <c r="A759" s="35" t="n"/>
      <c r="B759" s="28" t="n"/>
      <c r="C759" s="32">
        <f>IF(B759="","",IFERROR(INDEX(Inventario!$B$5:$B$200,MATCH(B759,Inventario!$A$5:$A$200,0)),"SKU no existe"))</f>
        <v/>
      </c>
      <c r="D759" s="28" t="n"/>
      <c r="E759" s="28" t="n"/>
      <c r="F759" s="28" t="n"/>
    </row>
    <row r="760" ht="15" customHeight="1" s="19">
      <c r="A760" s="35" t="n"/>
      <c r="B760" s="28" t="n"/>
      <c r="C760" s="32">
        <f>IF(B760="","",IFERROR(INDEX(Inventario!$B$5:$B$200,MATCH(B760,Inventario!$A$5:$A$200,0)),"SKU no existe"))</f>
        <v/>
      </c>
      <c r="D760" s="28" t="n"/>
      <c r="E760" s="28" t="n"/>
      <c r="F760" s="28" t="n"/>
    </row>
    <row r="761" ht="15" customHeight="1" s="19">
      <c r="A761" s="35" t="n"/>
      <c r="B761" s="28" t="n"/>
      <c r="C761" s="32">
        <f>IF(B761="","",IFERROR(INDEX(Inventario!$B$5:$B$200,MATCH(B761,Inventario!$A$5:$A$200,0)),"SKU no existe"))</f>
        <v/>
      </c>
      <c r="D761" s="28" t="n"/>
      <c r="E761" s="28" t="n"/>
      <c r="F761" s="28" t="n"/>
    </row>
    <row r="762" ht="15" customHeight="1" s="19">
      <c r="A762" s="35" t="n"/>
      <c r="B762" s="28" t="n"/>
      <c r="C762" s="32">
        <f>IF(B762="","",IFERROR(INDEX(Inventario!$B$5:$B$200,MATCH(B762,Inventario!$A$5:$A$200,0)),"SKU no existe"))</f>
        <v/>
      </c>
      <c r="D762" s="28" t="n"/>
      <c r="E762" s="28" t="n"/>
      <c r="F762" s="28" t="n"/>
    </row>
    <row r="763" ht="15" customHeight="1" s="19">
      <c r="A763" s="35" t="n"/>
      <c r="B763" s="28" t="n"/>
      <c r="C763" s="32">
        <f>IF(B763="","",IFERROR(INDEX(Inventario!$B$5:$B$200,MATCH(B763,Inventario!$A$5:$A$200,0)),"SKU no existe"))</f>
        <v/>
      </c>
      <c r="D763" s="28" t="n"/>
      <c r="E763" s="28" t="n"/>
      <c r="F763" s="28" t="n"/>
    </row>
    <row r="764" ht="15" customHeight="1" s="19">
      <c r="A764" s="35" t="n"/>
      <c r="B764" s="28" t="n"/>
      <c r="C764" s="32">
        <f>IF(B764="","",IFERROR(INDEX(Inventario!$B$5:$B$200,MATCH(B764,Inventario!$A$5:$A$200,0)),"SKU no existe"))</f>
        <v/>
      </c>
      <c r="D764" s="28" t="n"/>
      <c r="E764" s="28" t="n"/>
      <c r="F764" s="28" t="n"/>
    </row>
    <row r="765" ht="15" customHeight="1" s="19">
      <c r="A765" s="35" t="n"/>
      <c r="B765" s="28" t="n"/>
      <c r="C765" s="32">
        <f>IF(B765="","",IFERROR(INDEX(Inventario!$B$5:$B$200,MATCH(B765,Inventario!$A$5:$A$200,0)),"SKU no existe"))</f>
        <v/>
      </c>
      <c r="D765" s="28" t="n"/>
      <c r="E765" s="28" t="n"/>
      <c r="F765" s="28" t="n"/>
    </row>
    <row r="766" ht="15" customHeight="1" s="19">
      <c r="A766" s="35" t="n"/>
      <c r="B766" s="28" t="n"/>
      <c r="C766" s="32">
        <f>IF(B766="","",IFERROR(INDEX(Inventario!$B$5:$B$200,MATCH(B766,Inventario!$A$5:$A$200,0)),"SKU no existe"))</f>
        <v/>
      </c>
      <c r="D766" s="28" t="n"/>
      <c r="E766" s="28" t="n"/>
      <c r="F766" s="28" t="n"/>
    </row>
    <row r="767" ht="15" customHeight="1" s="19">
      <c r="A767" s="35" t="n"/>
      <c r="B767" s="28" t="n"/>
      <c r="C767" s="32">
        <f>IF(B767="","",IFERROR(INDEX(Inventario!$B$5:$B$200,MATCH(B767,Inventario!$A$5:$A$200,0)),"SKU no existe"))</f>
        <v/>
      </c>
      <c r="D767" s="28" t="n"/>
      <c r="E767" s="28" t="n"/>
      <c r="F767" s="28" t="n"/>
    </row>
    <row r="768" ht="15" customHeight="1" s="19">
      <c r="A768" s="35" t="n"/>
      <c r="B768" s="28" t="n"/>
      <c r="C768" s="32">
        <f>IF(B768="","",IFERROR(INDEX(Inventario!$B$5:$B$200,MATCH(B768,Inventario!$A$5:$A$200,0)),"SKU no existe"))</f>
        <v/>
      </c>
      <c r="D768" s="28" t="n"/>
      <c r="E768" s="28" t="n"/>
      <c r="F768" s="28" t="n"/>
    </row>
    <row r="769" ht="15" customHeight="1" s="19">
      <c r="A769" s="35" t="n"/>
      <c r="B769" s="28" t="n"/>
      <c r="C769" s="32">
        <f>IF(B769="","",IFERROR(INDEX(Inventario!$B$5:$B$200,MATCH(B769,Inventario!$A$5:$A$200,0)),"SKU no existe"))</f>
        <v/>
      </c>
      <c r="D769" s="28" t="n"/>
      <c r="E769" s="28" t="n"/>
      <c r="F769" s="28" t="n"/>
    </row>
    <row r="770" ht="15" customHeight="1" s="19">
      <c r="A770" s="35" t="n"/>
      <c r="B770" s="28" t="n"/>
      <c r="C770" s="32">
        <f>IF(B770="","",IFERROR(INDEX(Inventario!$B$5:$B$200,MATCH(B770,Inventario!$A$5:$A$200,0)),"SKU no existe"))</f>
        <v/>
      </c>
      <c r="D770" s="28" t="n"/>
      <c r="E770" s="28" t="n"/>
      <c r="F770" s="28" t="n"/>
    </row>
    <row r="771" ht="15" customHeight="1" s="19">
      <c r="A771" s="35" t="n"/>
      <c r="B771" s="28" t="n"/>
      <c r="C771" s="32">
        <f>IF(B771="","",IFERROR(INDEX(Inventario!$B$5:$B$200,MATCH(B771,Inventario!$A$5:$A$200,0)),"SKU no existe"))</f>
        <v/>
      </c>
      <c r="D771" s="28" t="n"/>
      <c r="E771" s="28" t="n"/>
      <c r="F771" s="28" t="n"/>
    </row>
    <row r="772" ht="15" customHeight="1" s="19">
      <c r="A772" s="35" t="n"/>
      <c r="B772" s="28" t="n"/>
      <c r="C772" s="32">
        <f>IF(B772="","",IFERROR(INDEX(Inventario!$B$5:$B$200,MATCH(B772,Inventario!$A$5:$A$200,0)),"SKU no existe"))</f>
        <v/>
      </c>
      <c r="D772" s="28" t="n"/>
      <c r="E772" s="28" t="n"/>
      <c r="F772" s="28" t="n"/>
    </row>
    <row r="773" ht="15" customHeight="1" s="19">
      <c r="A773" s="35" t="n"/>
      <c r="B773" s="28" t="n"/>
      <c r="C773" s="32">
        <f>IF(B773="","",IFERROR(INDEX(Inventario!$B$5:$B$200,MATCH(B773,Inventario!$A$5:$A$200,0)),"SKU no existe"))</f>
        <v/>
      </c>
      <c r="D773" s="28" t="n"/>
      <c r="E773" s="28" t="n"/>
      <c r="F773" s="28" t="n"/>
    </row>
    <row r="774" ht="15" customHeight="1" s="19">
      <c r="A774" s="35" t="n"/>
      <c r="B774" s="28" t="n"/>
      <c r="C774" s="32">
        <f>IF(B774="","",IFERROR(INDEX(Inventario!$B$5:$B$200,MATCH(B774,Inventario!$A$5:$A$200,0)),"SKU no existe"))</f>
        <v/>
      </c>
      <c r="D774" s="28" t="n"/>
      <c r="E774" s="28" t="n"/>
      <c r="F774" s="28" t="n"/>
    </row>
    <row r="775" ht="15" customHeight="1" s="19">
      <c r="A775" s="35" t="n"/>
      <c r="B775" s="28" t="n"/>
      <c r="C775" s="32">
        <f>IF(B775="","",IFERROR(INDEX(Inventario!$B$5:$B$200,MATCH(B775,Inventario!$A$5:$A$200,0)),"SKU no existe"))</f>
        <v/>
      </c>
      <c r="D775" s="28" t="n"/>
      <c r="E775" s="28" t="n"/>
      <c r="F775" s="28" t="n"/>
    </row>
    <row r="776" ht="15" customHeight="1" s="19">
      <c r="A776" s="35" t="n"/>
      <c r="B776" s="28" t="n"/>
      <c r="C776" s="32">
        <f>IF(B776="","",IFERROR(INDEX(Inventario!$B$5:$B$200,MATCH(B776,Inventario!$A$5:$A$200,0)),"SKU no existe"))</f>
        <v/>
      </c>
      <c r="D776" s="28" t="n"/>
      <c r="E776" s="28" t="n"/>
      <c r="F776" s="28" t="n"/>
    </row>
    <row r="777" ht="15" customHeight="1" s="19">
      <c r="A777" s="35" t="n"/>
      <c r="B777" s="28" t="n"/>
      <c r="C777" s="32">
        <f>IF(B777="","",IFERROR(INDEX(Inventario!$B$5:$B$200,MATCH(B777,Inventario!$A$5:$A$200,0)),"SKU no existe"))</f>
        <v/>
      </c>
      <c r="D777" s="28" t="n"/>
      <c r="E777" s="28" t="n"/>
      <c r="F777" s="28" t="n"/>
    </row>
    <row r="778" ht="15" customHeight="1" s="19">
      <c r="A778" s="35" t="n"/>
      <c r="B778" s="28" t="n"/>
      <c r="C778" s="32">
        <f>IF(B778="","",IFERROR(INDEX(Inventario!$B$5:$B$200,MATCH(B778,Inventario!$A$5:$A$200,0)),"SKU no existe"))</f>
        <v/>
      </c>
      <c r="D778" s="28" t="n"/>
      <c r="E778" s="28" t="n"/>
      <c r="F778" s="28" t="n"/>
    </row>
    <row r="779" ht="15" customHeight="1" s="19">
      <c r="A779" s="35" t="n"/>
      <c r="B779" s="28" t="n"/>
      <c r="C779" s="32">
        <f>IF(B779="","",IFERROR(INDEX(Inventario!$B$5:$B$200,MATCH(B779,Inventario!$A$5:$A$200,0)),"SKU no existe"))</f>
        <v/>
      </c>
      <c r="D779" s="28" t="n"/>
      <c r="E779" s="28" t="n"/>
      <c r="F779" s="28" t="n"/>
    </row>
    <row r="780" ht="15" customHeight="1" s="19">
      <c r="A780" s="35" t="n"/>
      <c r="B780" s="28" t="n"/>
      <c r="C780" s="32">
        <f>IF(B780="","",IFERROR(INDEX(Inventario!$B$5:$B$200,MATCH(B780,Inventario!$A$5:$A$200,0)),"SKU no existe"))</f>
        <v/>
      </c>
      <c r="D780" s="28" t="n"/>
      <c r="E780" s="28" t="n"/>
      <c r="F780" s="28" t="n"/>
    </row>
    <row r="781" ht="15" customHeight="1" s="19">
      <c r="A781" s="35" t="n"/>
      <c r="B781" s="28" t="n"/>
      <c r="C781" s="32">
        <f>IF(B781="","",IFERROR(INDEX(Inventario!$B$5:$B$200,MATCH(B781,Inventario!$A$5:$A$200,0)),"SKU no existe"))</f>
        <v/>
      </c>
      <c r="D781" s="28" t="n"/>
      <c r="E781" s="28" t="n"/>
      <c r="F781" s="28" t="n"/>
    </row>
    <row r="782" ht="15" customHeight="1" s="19">
      <c r="A782" s="35" t="n"/>
      <c r="B782" s="28" t="n"/>
      <c r="C782" s="32">
        <f>IF(B782="","",IFERROR(INDEX(Inventario!$B$5:$B$200,MATCH(B782,Inventario!$A$5:$A$200,0)),"SKU no existe"))</f>
        <v/>
      </c>
      <c r="D782" s="28" t="n"/>
      <c r="E782" s="28" t="n"/>
      <c r="F782" s="28" t="n"/>
    </row>
    <row r="783" ht="15" customHeight="1" s="19">
      <c r="A783" s="35" t="n"/>
      <c r="B783" s="28" t="n"/>
      <c r="C783" s="32">
        <f>IF(B783="","",IFERROR(INDEX(Inventario!$B$5:$B$200,MATCH(B783,Inventario!$A$5:$A$200,0)),"SKU no existe"))</f>
        <v/>
      </c>
      <c r="D783" s="28" t="n"/>
      <c r="E783" s="28" t="n"/>
      <c r="F783" s="28" t="n"/>
    </row>
    <row r="784" ht="15" customHeight="1" s="19">
      <c r="A784" s="35" t="n"/>
      <c r="B784" s="28" t="n"/>
      <c r="C784" s="32">
        <f>IF(B784="","",IFERROR(INDEX(Inventario!$B$5:$B$200,MATCH(B784,Inventario!$A$5:$A$200,0)),"SKU no existe"))</f>
        <v/>
      </c>
      <c r="D784" s="28" t="n"/>
      <c r="E784" s="28" t="n"/>
      <c r="F784" s="28" t="n"/>
    </row>
    <row r="785" ht="15" customHeight="1" s="19">
      <c r="A785" s="35" t="n"/>
      <c r="B785" s="28" t="n"/>
      <c r="C785" s="32">
        <f>IF(B785="","",IFERROR(INDEX(Inventario!$B$5:$B$200,MATCH(B785,Inventario!$A$5:$A$200,0)),"SKU no existe"))</f>
        <v/>
      </c>
      <c r="D785" s="28" t="n"/>
      <c r="E785" s="28" t="n"/>
      <c r="F785" s="28" t="n"/>
    </row>
    <row r="786" ht="15" customHeight="1" s="19">
      <c r="A786" s="35" t="n"/>
      <c r="B786" s="28" t="n"/>
      <c r="C786" s="32">
        <f>IF(B786="","",IFERROR(INDEX(Inventario!$B$5:$B$200,MATCH(B786,Inventario!$A$5:$A$200,0)),"SKU no existe"))</f>
        <v/>
      </c>
      <c r="D786" s="28" t="n"/>
      <c r="E786" s="28" t="n"/>
      <c r="F786" s="28" t="n"/>
    </row>
    <row r="787" ht="15" customHeight="1" s="19">
      <c r="A787" s="35" t="n"/>
      <c r="B787" s="28" t="n"/>
      <c r="C787" s="32">
        <f>IF(B787="","",IFERROR(INDEX(Inventario!$B$5:$B$200,MATCH(B787,Inventario!$A$5:$A$200,0)),"SKU no existe"))</f>
        <v/>
      </c>
      <c r="D787" s="28" t="n"/>
      <c r="E787" s="28" t="n"/>
      <c r="F787" s="28" t="n"/>
    </row>
    <row r="788" ht="15" customHeight="1" s="19">
      <c r="A788" s="35" t="n"/>
      <c r="B788" s="28" t="n"/>
      <c r="C788" s="32">
        <f>IF(B788="","",IFERROR(INDEX(Inventario!$B$5:$B$200,MATCH(B788,Inventario!$A$5:$A$200,0)),"SKU no existe"))</f>
        <v/>
      </c>
      <c r="D788" s="28" t="n"/>
      <c r="E788" s="28" t="n"/>
      <c r="F788" s="28" t="n"/>
    </row>
    <row r="789" ht="15" customHeight="1" s="19">
      <c r="A789" s="35" t="n"/>
      <c r="B789" s="28" t="n"/>
      <c r="C789" s="32">
        <f>IF(B789="","",IFERROR(INDEX(Inventario!$B$5:$B$200,MATCH(B789,Inventario!$A$5:$A$200,0)),"SKU no existe"))</f>
        <v/>
      </c>
      <c r="D789" s="28" t="n"/>
      <c r="E789" s="28" t="n"/>
      <c r="F789" s="28" t="n"/>
    </row>
    <row r="790" ht="15" customHeight="1" s="19">
      <c r="A790" s="35" t="n"/>
      <c r="B790" s="28" t="n"/>
      <c r="C790" s="32">
        <f>IF(B790="","",IFERROR(INDEX(Inventario!$B$5:$B$200,MATCH(B790,Inventario!$A$5:$A$200,0)),"SKU no existe"))</f>
        <v/>
      </c>
      <c r="D790" s="28" t="n"/>
      <c r="E790" s="28" t="n"/>
      <c r="F790" s="28" t="n"/>
    </row>
    <row r="791" ht="15" customHeight="1" s="19">
      <c r="A791" s="35" t="n"/>
      <c r="B791" s="28" t="n"/>
      <c r="C791" s="32">
        <f>IF(B791="","",IFERROR(INDEX(Inventario!$B$5:$B$200,MATCH(B791,Inventario!$A$5:$A$200,0)),"SKU no existe"))</f>
        <v/>
      </c>
      <c r="D791" s="28" t="n"/>
      <c r="E791" s="28" t="n"/>
      <c r="F791" s="28" t="n"/>
    </row>
    <row r="792" ht="15" customHeight="1" s="19">
      <c r="A792" s="35" t="n"/>
      <c r="B792" s="28" t="n"/>
      <c r="C792" s="32">
        <f>IF(B792="","",IFERROR(INDEX(Inventario!$B$5:$B$200,MATCH(B792,Inventario!$A$5:$A$200,0)),"SKU no existe"))</f>
        <v/>
      </c>
      <c r="D792" s="28" t="n"/>
      <c r="E792" s="28" t="n"/>
      <c r="F792" s="28" t="n"/>
    </row>
    <row r="793" ht="15" customHeight="1" s="19">
      <c r="A793" s="35" t="n"/>
      <c r="B793" s="28" t="n"/>
      <c r="C793" s="32">
        <f>IF(B793="","",IFERROR(INDEX(Inventario!$B$5:$B$200,MATCH(B793,Inventario!$A$5:$A$200,0)),"SKU no existe"))</f>
        <v/>
      </c>
      <c r="D793" s="28" t="n"/>
      <c r="E793" s="28" t="n"/>
      <c r="F793" s="28" t="n"/>
    </row>
    <row r="794" ht="15" customHeight="1" s="19">
      <c r="A794" s="35" t="n"/>
      <c r="B794" s="28" t="n"/>
      <c r="C794" s="32">
        <f>IF(B794="","",IFERROR(INDEX(Inventario!$B$5:$B$200,MATCH(B794,Inventario!$A$5:$A$200,0)),"SKU no existe"))</f>
        <v/>
      </c>
      <c r="D794" s="28" t="n"/>
      <c r="E794" s="28" t="n"/>
      <c r="F794" s="28" t="n"/>
    </row>
    <row r="795" ht="15" customHeight="1" s="19">
      <c r="A795" s="35" t="n"/>
      <c r="B795" s="28" t="n"/>
      <c r="C795" s="32">
        <f>IF(B795="","",IFERROR(INDEX(Inventario!$B$5:$B$200,MATCH(B795,Inventario!$A$5:$A$200,0)),"SKU no existe"))</f>
        <v/>
      </c>
      <c r="D795" s="28" t="n"/>
      <c r="E795" s="28" t="n"/>
      <c r="F795" s="28" t="n"/>
    </row>
    <row r="796" ht="15" customHeight="1" s="19">
      <c r="A796" s="35" t="n"/>
      <c r="B796" s="28" t="n"/>
      <c r="C796" s="32">
        <f>IF(B796="","",IFERROR(INDEX(Inventario!$B$5:$B$200,MATCH(B796,Inventario!$A$5:$A$200,0)),"SKU no existe"))</f>
        <v/>
      </c>
      <c r="D796" s="28" t="n"/>
      <c r="E796" s="28" t="n"/>
      <c r="F796" s="28" t="n"/>
    </row>
    <row r="797" ht="15" customHeight="1" s="19">
      <c r="A797" s="35" t="n"/>
      <c r="B797" s="28" t="n"/>
      <c r="C797" s="32">
        <f>IF(B797="","",IFERROR(INDEX(Inventario!$B$5:$B$200,MATCH(B797,Inventario!$A$5:$A$200,0)),"SKU no existe"))</f>
        <v/>
      </c>
      <c r="D797" s="28" t="n"/>
      <c r="E797" s="28" t="n"/>
      <c r="F797" s="28" t="n"/>
    </row>
    <row r="798" ht="15" customHeight="1" s="19">
      <c r="A798" s="35" t="n"/>
      <c r="B798" s="28" t="n"/>
      <c r="C798" s="32">
        <f>IF(B798="","",IFERROR(INDEX(Inventario!$B$5:$B$200,MATCH(B798,Inventario!$A$5:$A$200,0)),"SKU no existe"))</f>
        <v/>
      </c>
      <c r="D798" s="28" t="n"/>
      <c r="E798" s="28" t="n"/>
      <c r="F798" s="28" t="n"/>
    </row>
    <row r="799" ht="15" customHeight="1" s="19">
      <c r="A799" s="35" t="n"/>
      <c r="B799" s="28" t="n"/>
      <c r="C799" s="32">
        <f>IF(B799="","",IFERROR(INDEX(Inventario!$B$5:$B$200,MATCH(B799,Inventario!$A$5:$A$200,0)),"SKU no existe"))</f>
        <v/>
      </c>
      <c r="D799" s="28" t="n"/>
      <c r="E799" s="28" t="n"/>
      <c r="F799" s="28" t="n"/>
    </row>
    <row r="800" ht="15" customHeight="1" s="19">
      <c r="A800" s="35" t="n"/>
      <c r="B800" s="28" t="n"/>
      <c r="C800" s="32">
        <f>IF(B800="","",IFERROR(INDEX(Inventario!$B$5:$B$200,MATCH(B800,Inventario!$A$5:$A$200,0)),"SKU no existe"))</f>
        <v/>
      </c>
      <c r="D800" s="28" t="n"/>
      <c r="E800" s="28" t="n"/>
      <c r="F800" s="28" t="n"/>
    </row>
    <row r="801" ht="15" customHeight="1" s="19">
      <c r="A801" s="35" t="n"/>
      <c r="B801" s="28" t="n"/>
      <c r="C801" s="32">
        <f>IF(B801="","",IFERROR(INDEX(Inventario!$B$5:$B$200,MATCH(B801,Inventario!$A$5:$A$200,0)),"SKU no existe"))</f>
        <v/>
      </c>
      <c r="D801" s="28" t="n"/>
      <c r="E801" s="28" t="n"/>
      <c r="F801" s="28" t="n"/>
    </row>
    <row r="802" ht="15" customHeight="1" s="19">
      <c r="A802" s="35" t="n"/>
      <c r="B802" s="28" t="n"/>
      <c r="C802" s="32">
        <f>IF(B802="","",IFERROR(INDEX(Inventario!$B$5:$B$200,MATCH(B802,Inventario!$A$5:$A$200,0)),"SKU no existe"))</f>
        <v/>
      </c>
      <c r="D802" s="28" t="n"/>
      <c r="E802" s="28" t="n"/>
      <c r="F802" s="28" t="n"/>
    </row>
    <row r="803" ht="15" customHeight="1" s="19">
      <c r="A803" s="35" t="n"/>
      <c r="B803" s="28" t="n"/>
      <c r="C803" s="32">
        <f>IF(B803="","",IFERROR(INDEX(Inventario!$B$5:$B$200,MATCH(B803,Inventario!$A$5:$A$200,0)),"SKU no existe"))</f>
        <v/>
      </c>
      <c r="D803" s="28" t="n"/>
      <c r="E803" s="28" t="n"/>
      <c r="F803" s="28" t="n"/>
    </row>
    <row r="804" ht="15" customHeight="1" s="19">
      <c r="A804" s="35" t="n"/>
      <c r="B804" s="28" t="n"/>
      <c r="C804" s="32">
        <f>IF(B804="","",IFERROR(INDEX(Inventario!$B$5:$B$200,MATCH(B804,Inventario!$A$5:$A$200,0)),"SKU no existe"))</f>
        <v/>
      </c>
      <c r="D804" s="28" t="n"/>
      <c r="E804" s="28" t="n"/>
      <c r="F804" s="28" t="n"/>
    </row>
    <row r="805" ht="15" customHeight="1" s="19">
      <c r="A805" s="35" t="n"/>
      <c r="B805" s="28" t="n"/>
      <c r="C805" s="32">
        <f>IF(B805="","",IFERROR(INDEX(Inventario!$B$5:$B$200,MATCH(B805,Inventario!$A$5:$A$200,0)),"SKU no existe"))</f>
        <v/>
      </c>
      <c r="D805" s="28" t="n"/>
      <c r="E805" s="28" t="n"/>
      <c r="F805" s="28" t="n"/>
    </row>
    <row r="806" ht="15" customHeight="1" s="19">
      <c r="A806" s="35" t="n"/>
      <c r="B806" s="28" t="n"/>
      <c r="C806" s="32">
        <f>IF(B806="","",IFERROR(INDEX(Inventario!$B$5:$B$200,MATCH(B806,Inventario!$A$5:$A$200,0)),"SKU no existe"))</f>
        <v/>
      </c>
      <c r="D806" s="28" t="n"/>
      <c r="E806" s="28" t="n"/>
      <c r="F806" s="28" t="n"/>
    </row>
    <row r="807" ht="15" customHeight="1" s="19">
      <c r="A807" s="35" t="n"/>
      <c r="B807" s="28" t="n"/>
      <c r="C807" s="32">
        <f>IF(B807="","",IFERROR(INDEX(Inventario!$B$5:$B$200,MATCH(B807,Inventario!$A$5:$A$200,0)),"SKU no existe"))</f>
        <v/>
      </c>
      <c r="D807" s="28" t="n"/>
      <c r="E807" s="28" t="n"/>
      <c r="F807" s="28" t="n"/>
    </row>
    <row r="808" ht="15" customHeight="1" s="19">
      <c r="A808" s="35" t="n"/>
      <c r="B808" s="28" t="n"/>
      <c r="C808" s="32">
        <f>IF(B808="","",IFERROR(INDEX(Inventario!$B$5:$B$200,MATCH(B808,Inventario!$A$5:$A$200,0)),"SKU no existe"))</f>
        <v/>
      </c>
      <c r="D808" s="28" t="n"/>
      <c r="E808" s="28" t="n"/>
      <c r="F808" s="28" t="n"/>
    </row>
    <row r="809" ht="15" customHeight="1" s="19">
      <c r="A809" s="35" t="n"/>
      <c r="B809" s="28" t="n"/>
      <c r="C809" s="32">
        <f>IF(B809="","",IFERROR(INDEX(Inventario!$B$5:$B$200,MATCH(B809,Inventario!$A$5:$A$200,0)),"SKU no existe"))</f>
        <v/>
      </c>
      <c r="D809" s="28" t="n"/>
      <c r="E809" s="28" t="n"/>
      <c r="F809" s="28" t="n"/>
    </row>
    <row r="810" ht="15" customHeight="1" s="19">
      <c r="A810" s="35" t="n"/>
      <c r="B810" s="28" t="n"/>
      <c r="C810" s="32">
        <f>IF(B810="","",IFERROR(INDEX(Inventario!$B$5:$B$200,MATCH(B810,Inventario!$A$5:$A$200,0)),"SKU no existe"))</f>
        <v/>
      </c>
      <c r="D810" s="28" t="n"/>
      <c r="E810" s="28" t="n"/>
      <c r="F810" s="28" t="n"/>
    </row>
    <row r="811" ht="15" customHeight="1" s="19">
      <c r="A811" s="35" t="n"/>
      <c r="B811" s="28" t="n"/>
      <c r="C811" s="32">
        <f>IF(B811="","",IFERROR(INDEX(Inventario!$B$5:$B$200,MATCH(B811,Inventario!$A$5:$A$200,0)),"SKU no existe"))</f>
        <v/>
      </c>
      <c r="D811" s="28" t="n"/>
      <c r="E811" s="28" t="n"/>
      <c r="F811" s="28" t="n"/>
    </row>
    <row r="812" ht="15" customHeight="1" s="19">
      <c r="A812" s="35" t="n"/>
      <c r="B812" s="28" t="n"/>
      <c r="C812" s="32">
        <f>IF(B812="","",IFERROR(INDEX(Inventario!$B$5:$B$200,MATCH(B812,Inventario!$A$5:$A$200,0)),"SKU no existe"))</f>
        <v/>
      </c>
      <c r="D812" s="28" t="n"/>
      <c r="E812" s="28" t="n"/>
      <c r="F812" s="28" t="n"/>
    </row>
    <row r="813" ht="15" customHeight="1" s="19">
      <c r="A813" s="35" t="n"/>
      <c r="B813" s="28" t="n"/>
      <c r="C813" s="32">
        <f>IF(B813="","",IFERROR(INDEX(Inventario!$B$5:$B$200,MATCH(B813,Inventario!$A$5:$A$200,0)),"SKU no existe"))</f>
        <v/>
      </c>
      <c r="D813" s="28" t="n"/>
      <c r="E813" s="28" t="n"/>
      <c r="F813" s="28" t="n"/>
    </row>
    <row r="814" ht="15" customHeight="1" s="19">
      <c r="A814" s="35" t="n"/>
      <c r="B814" s="28" t="n"/>
      <c r="C814" s="32">
        <f>IF(B814="","",IFERROR(INDEX(Inventario!$B$5:$B$200,MATCH(B814,Inventario!$A$5:$A$200,0)),"SKU no existe"))</f>
        <v/>
      </c>
      <c r="D814" s="28" t="n"/>
      <c r="E814" s="28" t="n"/>
      <c r="F814" s="28" t="n"/>
    </row>
    <row r="815" ht="15" customHeight="1" s="19">
      <c r="A815" s="35" t="n"/>
      <c r="B815" s="28" t="n"/>
      <c r="C815" s="32">
        <f>IF(B815="","",IFERROR(INDEX(Inventario!$B$5:$B$200,MATCH(B815,Inventario!$A$5:$A$200,0)),"SKU no existe"))</f>
        <v/>
      </c>
      <c r="D815" s="28" t="n"/>
      <c r="E815" s="28" t="n"/>
      <c r="F815" s="28" t="n"/>
    </row>
    <row r="816" ht="15" customHeight="1" s="19">
      <c r="A816" s="35" t="n"/>
      <c r="B816" s="28" t="n"/>
      <c r="C816" s="32">
        <f>IF(B816="","",IFERROR(INDEX(Inventario!$B$5:$B$200,MATCH(B816,Inventario!$A$5:$A$200,0)),"SKU no existe"))</f>
        <v/>
      </c>
      <c r="D816" s="28" t="n"/>
      <c r="E816" s="28" t="n"/>
      <c r="F816" s="28" t="n"/>
    </row>
    <row r="817" ht="15" customHeight="1" s="19">
      <c r="A817" s="35" t="n"/>
      <c r="B817" s="28" t="n"/>
      <c r="C817" s="32">
        <f>IF(B817="","",IFERROR(INDEX(Inventario!$B$5:$B$200,MATCH(B817,Inventario!$A$5:$A$200,0)),"SKU no existe"))</f>
        <v/>
      </c>
      <c r="D817" s="28" t="n"/>
      <c r="E817" s="28" t="n"/>
      <c r="F817" s="28" t="n"/>
    </row>
    <row r="818" ht="15" customHeight="1" s="19">
      <c r="A818" s="35" t="n"/>
      <c r="B818" s="28" t="n"/>
      <c r="C818" s="32">
        <f>IF(B818="","",IFERROR(INDEX(Inventario!$B$5:$B$200,MATCH(B818,Inventario!$A$5:$A$200,0)),"SKU no existe"))</f>
        <v/>
      </c>
      <c r="D818" s="28" t="n"/>
      <c r="E818" s="28" t="n"/>
      <c r="F818" s="28" t="n"/>
    </row>
    <row r="819" ht="15" customHeight="1" s="19">
      <c r="A819" s="35" t="n"/>
      <c r="B819" s="28" t="n"/>
      <c r="C819" s="32">
        <f>IF(B819="","",IFERROR(INDEX(Inventario!$B$5:$B$200,MATCH(B819,Inventario!$A$5:$A$200,0)),"SKU no existe"))</f>
        <v/>
      </c>
      <c r="D819" s="28" t="n"/>
      <c r="E819" s="28" t="n"/>
      <c r="F819" s="28" t="n"/>
    </row>
    <row r="820" ht="15" customHeight="1" s="19">
      <c r="A820" s="35" t="n"/>
      <c r="B820" s="28" t="n"/>
      <c r="C820" s="32">
        <f>IF(B820="","",IFERROR(INDEX(Inventario!$B$5:$B$200,MATCH(B820,Inventario!$A$5:$A$200,0)),"SKU no existe"))</f>
        <v/>
      </c>
      <c r="D820" s="28" t="n"/>
      <c r="E820" s="28" t="n"/>
      <c r="F820" s="28" t="n"/>
    </row>
    <row r="821" ht="15" customHeight="1" s="19">
      <c r="A821" s="35" t="n"/>
      <c r="B821" s="28" t="n"/>
      <c r="C821" s="32">
        <f>IF(B821="","",IFERROR(INDEX(Inventario!$B$5:$B$200,MATCH(B821,Inventario!$A$5:$A$200,0)),"SKU no existe"))</f>
        <v/>
      </c>
      <c r="D821" s="28" t="n"/>
      <c r="E821" s="28" t="n"/>
      <c r="F821" s="28" t="n"/>
    </row>
    <row r="822" ht="15" customHeight="1" s="19">
      <c r="A822" s="35" t="n"/>
      <c r="B822" s="28" t="n"/>
      <c r="C822" s="32">
        <f>IF(B822="","",IFERROR(INDEX(Inventario!$B$5:$B$200,MATCH(B822,Inventario!$A$5:$A$200,0)),"SKU no existe"))</f>
        <v/>
      </c>
      <c r="D822" s="28" t="n"/>
      <c r="E822" s="28" t="n"/>
      <c r="F822" s="28" t="n"/>
    </row>
    <row r="823" ht="15" customHeight="1" s="19">
      <c r="A823" s="35" t="n"/>
      <c r="B823" s="28" t="n"/>
      <c r="C823" s="32">
        <f>IF(B823="","",IFERROR(INDEX(Inventario!$B$5:$B$200,MATCH(B823,Inventario!$A$5:$A$200,0)),"SKU no existe"))</f>
        <v/>
      </c>
      <c r="D823" s="28" t="n"/>
      <c r="E823" s="28" t="n"/>
      <c r="F823" s="28" t="n"/>
    </row>
    <row r="824" ht="15" customHeight="1" s="19">
      <c r="A824" s="35" t="n"/>
      <c r="B824" s="28" t="n"/>
      <c r="C824" s="32">
        <f>IF(B824="","",IFERROR(INDEX(Inventario!$B$5:$B$200,MATCH(B824,Inventario!$A$5:$A$200,0)),"SKU no existe"))</f>
        <v/>
      </c>
      <c r="D824" s="28" t="n"/>
      <c r="E824" s="28" t="n"/>
      <c r="F824" s="28" t="n"/>
    </row>
    <row r="825" ht="15" customHeight="1" s="19">
      <c r="A825" s="35" t="n"/>
      <c r="B825" s="28" t="n"/>
      <c r="C825" s="32">
        <f>IF(B825="","",IFERROR(INDEX(Inventario!$B$5:$B$200,MATCH(B825,Inventario!$A$5:$A$200,0)),"SKU no existe"))</f>
        <v/>
      </c>
      <c r="D825" s="28" t="n"/>
      <c r="E825" s="28" t="n"/>
      <c r="F825" s="28" t="n"/>
    </row>
    <row r="826" ht="15" customHeight="1" s="19">
      <c r="A826" s="35" t="n"/>
      <c r="B826" s="28" t="n"/>
      <c r="C826" s="32">
        <f>IF(B826="","",IFERROR(INDEX(Inventario!$B$5:$B$200,MATCH(B826,Inventario!$A$5:$A$200,0)),"SKU no existe"))</f>
        <v/>
      </c>
      <c r="D826" s="28" t="n"/>
      <c r="E826" s="28" t="n"/>
      <c r="F826" s="28" t="n"/>
    </row>
    <row r="827" ht="15" customHeight="1" s="19">
      <c r="A827" s="35" t="n"/>
      <c r="B827" s="28" t="n"/>
      <c r="C827" s="32">
        <f>IF(B827="","",IFERROR(INDEX(Inventario!$B$5:$B$200,MATCH(B827,Inventario!$A$5:$A$200,0)),"SKU no existe"))</f>
        <v/>
      </c>
      <c r="D827" s="28" t="n"/>
      <c r="E827" s="28" t="n"/>
      <c r="F827" s="28" t="n"/>
    </row>
    <row r="828" ht="15" customHeight="1" s="19">
      <c r="A828" s="35" t="n"/>
      <c r="B828" s="28" t="n"/>
      <c r="C828" s="32">
        <f>IF(B828="","",IFERROR(INDEX(Inventario!$B$5:$B$200,MATCH(B828,Inventario!$A$5:$A$200,0)),"SKU no existe"))</f>
        <v/>
      </c>
      <c r="D828" s="28" t="n"/>
      <c r="E828" s="28" t="n"/>
      <c r="F828" s="28" t="n"/>
    </row>
    <row r="829" ht="15" customHeight="1" s="19">
      <c r="A829" s="35" t="n"/>
      <c r="B829" s="28" t="n"/>
      <c r="C829" s="32">
        <f>IF(B829="","",IFERROR(INDEX(Inventario!$B$5:$B$200,MATCH(B829,Inventario!$A$5:$A$200,0)),"SKU no existe"))</f>
        <v/>
      </c>
      <c r="D829" s="28" t="n"/>
      <c r="E829" s="28" t="n"/>
      <c r="F829" s="28" t="n"/>
    </row>
    <row r="830" ht="15" customHeight="1" s="19">
      <c r="A830" s="35" t="n"/>
      <c r="B830" s="28" t="n"/>
      <c r="C830" s="32">
        <f>IF(B830="","",IFERROR(INDEX(Inventario!$B$5:$B$200,MATCH(B830,Inventario!$A$5:$A$200,0)),"SKU no existe"))</f>
        <v/>
      </c>
      <c r="D830" s="28" t="n"/>
      <c r="E830" s="28" t="n"/>
      <c r="F830" s="28" t="n"/>
    </row>
    <row r="831" ht="15" customHeight="1" s="19">
      <c r="A831" s="35" t="n"/>
      <c r="B831" s="28" t="n"/>
      <c r="C831" s="32">
        <f>IF(B831="","",IFERROR(INDEX(Inventario!$B$5:$B$200,MATCH(B831,Inventario!$A$5:$A$200,0)),"SKU no existe"))</f>
        <v/>
      </c>
      <c r="D831" s="28" t="n"/>
      <c r="E831" s="28" t="n"/>
      <c r="F831" s="28" t="n"/>
    </row>
    <row r="832" ht="15" customHeight="1" s="19">
      <c r="A832" s="35" t="n"/>
      <c r="B832" s="28" t="n"/>
      <c r="C832" s="32">
        <f>IF(B832="","",IFERROR(INDEX(Inventario!$B$5:$B$200,MATCH(B832,Inventario!$A$5:$A$200,0)),"SKU no existe"))</f>
        <v/>
      </c>
      <c r="D832" s="28" t="n"/>
      <c r="E832" s="28" t="n"/>
      <c r="F832" s="28" t="n"/>
    </row>
    <row r="833" ht="15" customHeight="1" s="19">
      <c r="A833" s="35" t="n"/>
      <c r="B833" s="28" t="n"/>
      <c r="C833" s="32">
        <f>IF(B833="","",IFERROR(INDEX(Inventario!$B$5:$B$200,MATCH(B833,Inventario!$A$5:$A$200,0)),"SKU no existe"))</f>
        <v/>
      </c>
      <c r="D833" s="28" t="n"/>
      <c r="E833" s="28" t="n"/>
      <c r="F833" s="28" t="n"/>
    </row>
    <row r="834" ht="15" customHeight="1" s="19">
      <c r="A834" s="35" t="n"/>
      <c r="B834" s="28" t="n"/>
      <c r="C834" s="32">
        <f>IF(B834="","",IFERROR(INDEX(Inventario!$B$5:$B$200,MATCH(B834,Inventario!$A$5:$A$200,0)),"SKU no existe"))</f>
        <v/>
      </c>
      <c r="D834" s="28" t="n"/>
      <c r="E834" s="28" t="n"/>
      <c r="F834" s="28" t="n"/>
    </row>
    <row r="835" ht="15" customHeight="1" s="19">
      <c r="A835" s="35" t="n"/>
      <c r="B835" s="28" t="n"/>
      <c r="C835" s="32">
        <f>IF(B835="","",IFERROR(INDEX(Inventario!$B$5:$B$200,MATCH(B835,Inventario!$A$5:$A$200,0)),"SKU no existe"))</f>
        <v/>
      </c>
      <c r="D835" s="28" t="n"/>
      <c r="E835" s="28" t="n"/>
      <c r="F835" s="28" t="n"/>
    </row>
    <row r="836" ht="15" customHeight="1" s="19">
      <c r="A836" s="35" t="n"/>
      <c r="B836" s="28" t="n"/>
      <c r="C836" s="32">
        <f>IF(B836="","",IFERROR(INDEX(Inventario!$B$5:$B$200,MATCH(B836,Inventario!$A$5:$A$200,0)),"SKU no existe"))</f>
        <v/>
      </c>
      <c r="D836" s="28" t="n"/>
      <c r="E836" s="28" t="n"/>
      <c r="F836" s="28" t="n"/>
    </row>
    <row r="837" ht="15" customHeight="1" s="19">
      <c r="A837" s="35" t="n"/>
      <c r="B837" s="28" t="n"/>
      <c r="C837" s="32">
        <f>IF(B837="","",IFERROR(INDEX(Inventario!$B$5:$B$200,MATCH(B837,Inventario!$A$5:$A$200,0)),"SKU no existe"))</f>
        <v/>
      </c>
      <c r="D837" s="28" t="n"/>
      <c r="E837" s="28" t="n"/>
      <c r="F837" s="28" t="n"/>
    </row>
    <row r="838" ht="15" customHeight="1" s="19">
      <c r="A838" s="35" t="n"/>
      <c r="B838" s="28" t="n"/>
      <c r="C838" s="32">
        <f>IF(B838="","",IFERROR(INDEX(Inventario!$B$5:$B$200,MATCH(B838,Inventario!$A$5:$A$200,0)),"SKU no existe"))</f>
        <v/>
      </c>
      <c r="D838" s="28" t="n"/>
      <c r="E838" s="28" t="n"/>
      <c r="F838" s="28" t="n"/>
    </row>
    <row r="839" ht="15" customHeight="1" s="19">
      <c r="A839" s="35" t="n"/>
      <c r="B839" s="28" t="n"/>
      <c r="C839" s="32">
        <f>IF(B839="","",IFERROR(INDEX(Inventario!$B$5:$B$200,MATCH(B839,Inventario!$A$5:$A$200,0)),"SKU no existe"))</f>
        <v/>
      </c>
      <c r="D839" s="28" t="n"/>
      <c r="E839" s="28" t="n"/>
      <c r="F839" s="28" t="n"/>
    </row>
    <row r="840" ht="15" customHeight="1" s="19">
      <c r="A840" s="35" t="n"/>
      <c r="B840" s="28" t="n"/>
      <c r="C840" s="32">
        <f>IF(B840="","",IFERROR(INDEX(Inventario!$B$5:$B$200,MATCH(B840,Inventario!$A$5:$A$200,0)),"SKU no existe"))</f>
        <v/>
      </c>
      <c r="D840" s="28" t="n"/>
      <c r="E840" s="28" t="n"/>
      <c r="F840" s="28" t="n"/>
    </row>
    <row r="841" ht="15" customHeight="1" s="19">
      <c r="A841" s="35" t="n"/>
      <c r="B841" s="28" t="n"/>
      <c r="C841" s="32">
        <f>IF(B841="","",IFERROR(INDEX(Inventario!$B$5:$B$200,MATCH(B841,Inventario!$A$5:$A$200,0)),"SKU no existe"))</f>
        <v/>
      </c>
      <c r="D841" s="28" t="n"/>
      <c r="E841" s="28" t="n"/>
      <c r="F841" s="28" t="n"/>
    </row>
    <row r="842" ht="15" customHeight="1" s="19">
      <c r="A842" s="35" t="n"/>
      <c r="B842" s="28" t="n"/>
      <c r="C842" s="32">
        <f>IF(B842="","",IFERROR(INDEX(Inventario!$B$5:$B$200,MATCH(B842,Inventario!$A$5:$A$200,0)),"SKU no existe"))</f>
        <v/>
      </c>
      <c r="D842" s="28" t="n"/>
      <c r="E842" s="28" t="n"/>
      <c r="F842" s="28" t="n"/>
    </row>
    <row r="843" ht="15" customHeight="1" s="19">
      <c r="A843" s="35" t="n"/>
      <c r="B843" s="28" t="n"/>
      <c r="C843" s="32">
        <f>IF(B843="","",IFERROR(INDEX(Inventario!$B$5:$B$200,MATCH(B843,Inventario!$A$5:$A$200,0)),"SKU no existe"))</f>
        <v/>
      </c>
      <c r="D843" s="28" t="n"/>
      <c r="E843" s="28" t="n"/>
      <c r="F843" s="28" t="n"/>
    </row>
    <row r="844" ht="15" customHeight="1" s="19">
      <c r="A844" s="35" t="n"/>
      <c r="B844" s="28" t="n"/>
      <c r="C844" s="32">
        <f>IF(B844="","",IFERROR(INDEX(Inventario!$B$5:$B$200,MATCH(B844,Inventario!$A$5:$A$200,0)),"SKU no existe"))</f>
        <v/>
      </c>
      <c r="D844" s="28" t="n"/>
      <c r="E844" s="28" t="n"/>
      <c r="F844" s="28" t="n"/>
    </row>
    <row r="845" ht="15" customHeight="1" s="19">
      <c r="A845" s="35" t="n"/>
      <c r="B845" s="28" t="n"/>
      <c r="C845" s="32">
        <f>IF(B845="","",IFERROR(INDEX(Inventario!$B$5:$B$200,MATCH(B845,Inventario!$A$5:$A$200,0)),"SKU no existe"))</f>
        <v/>
      </c>
      <c r="D845" s="28" t="n"/>
      <c r="E845" s="28" t="n"/>
      <c r="F845" s="28" t="n"/>
    </row>
    <row r="846" ht="15" customHeight="1" s="19">
      <c r="A846" s="35" t="n"/>
      <c r="B846" s="28" t="n"/>
      <c r="C846" s="32">
        <f>IF(B846="","",IFERROR(INDEX(Inventario!$B$5:$B$200,MATCH(B846,Inventario!$A$5:$A$200,0)),"SKU no existe"))</f>
        <v/>
      </c>
      <c r="D846" s="28" t="n"/>
      <c r="E846" s="28" t="n"/>
      <c r="F846" s="28" t="n"/>
    </row>
    <row r="847" ht="15" customHeight="1" s="19">
      <c r="A847" s="35" t="n"/>
      <c r="B847" s="28" t="n"/>
      <c r="C847" s="32">
        <f>IF(B847="","",IFERROR(INDEX(Inventario!$B$5:$B$200,MATCH(B847,Inventario!$A$5:$A$200,0)),"SKU no existe"))</f>
        <v/>
      </c>
      <c r="D847" s="28" t="n"/>
      <c r="E847" s="28" t="n"/>
      <c r="F847" s="28" t="n"/>
    </row>
    <row r="848" ht="15" customHeight="1" s="19">
      <c r="A848" s="35" t="n"/>
      <c r="B848" s="28" t="n"/>
      <c r="C848" s="32">
        <f>IF(B848="","",IFERROR(INDEX(Inventario!$B$5:$B$200,MATCH(B848,Inventario!$A$5:$A$200,0)),"SKU no existe"))</f>
        <v/>
      </c>
      <c r="D848" s="28" t="n"/>
      <c r="E848" s="28" t="n"/>
      <c r="F848" s="28" t="n"/>
    </row>
    <row r="849" ht="15" customHeight="1" s="19">
      <c r="A849" s="35" t="n"/>
      <c r="B849" s="28" t="n"/>
      <c r="C849" s="32">
        <f>IF(B849="","",IFERROR(INDEX(Inventario!$B$5:$B$200,MATCH(B849,Inventario!$A$5:$A$200,0)),"SKU no existe"))</f>
        <v/>
      </c>
      <c r="D849" s="28" t="n"/>
      <c r="E849" s="28" t="n"/>
      <c r="F849" s="28" t="n"/>
    </row>
    <row r="850" ht="15" customHeight="1" s="19">
      <c r="A850" s="35" t="n"/>
      <c r="B850" s="28" t="n"/>
      <c r="C850" s="32">
        <f>IF(B850="","",IFERROR(INDEX(Inventario!$B$5:$B$200,MATCH(B850,Inventario!$A$5:$A$200,0)),"SKU no existe"))</f>
        <v/>
      </c>
      <c r="D850" s="28" t="n"/>
      <c r="E850" s="28" t="n"/>
      <c r="F850" s="28" t="n"/>
    </row>
    <row r="851" ht="15" customHeight="1" s="19">
      <c r="A851" s="35" t="n"/>
      <c r="B851" s="28" t="n"/>
      <c r="C851" s="32">
        <f>IF(B851="","",IFERROR(INDEX(Inventario!$B$5:$B$200,MATCH(B851,Inventario!$A$5:$A$200,0)),"SKU no existe"))</f>
        <v/>
      </c>
      <c r="D851" s="28" t="n"/>
      <c r="E851" s="28" t="n"/>
      <c r="F851" s="28" t="n"/>
    </row>
    <row r="852" ht="15" customHeight="1" s="19">
      <c r="A852" s="35" t="n"/>
      <c r="B852" s="28" t="n"/>
      <c r="C852" s="32">
        <f>IF(B852="","",IFERROR(INDEX(Inventario!$B$5:$B$200,MATCH(B852,Inventario!$A$5:$A$200,0)),"SKU no existe"))</f>
        <v/>
      </c>
      <c r="D852" s="28" t="n"/>
      <c r="E852" s="28" t="n"/>
      <c r="F852" s="28" t="n"/>
    </row>
    <row r="853" ht="15" customHeight="1" s="19">
      <c r="A853" s="35" t="n"/>
      <c r="B853" s="28" t="n"/>
      <c r="C853" s="32">
        <f>IF(B853="","",IFERROR(INDEX(Inventario!$B$5:$B$200,MATCH(B853,Inventario!$A$5:$A$200,0)),"SKU no existe"))</f>
        <v/>
      </c>
      <c r="D853" s="28" t="n"/>
      <c r="E853" s="28" t="n"/>
      <c r="F853" s="28" t="n"/>
    </row>
    <row r="854" ht="15" customHeight="1" s="19">
      <c r="A854" s="35" t="n"/>
      <c r="B854" s="28" t="n"/>
      <c r="C854" s="32">
        <f>IF(B854="","",IFERROR(INDEX(Inventario!$B$5:$B$200,MATCH(B854,Inventario!$A$5:$A$200,0)),"SKU no existe"))</f>
        <v/>
      </c>
      <c r="D854" s="28" t="n"/>
      <c r="E854" s="28" t="n"/>
      <c r="F854" s="28" t="n"/>
    </row>
    <row r="855" ht="15" customHeight="1" s="19">
      <c r="A855" s="35" t="n"/>
      <c r="B855" s="28" t="n"/>
      <c r="C855" s="32">
        <f>IF(B855="","",IFERROR(INDEX(Inventario!$B$5:$B$200,MATCH(B855,Inventario!$A$5:$A$200,0)),"SKU no existe"))</f>
        <v/>
      </c>
      <c r="D855" s="28" t="n"/>
      <c r="E855" s="28" t="n"/>
      <c r="F855" s="28" t="n"/>
    </row>
    <row r="856" ht="15" customHeight="1" s="19">
      <c r="A856" s="35" t="n"/>
      <c r="B856" s="28" t="n"/>
      <c r="C856" s="32">
        <f>IF(B856="","",IFERROR(INDEX(Inventario!$B$5:$B$200,MATCH(B856,Inventario!$A$5:$A$200,0)),"SKU no existe"))</f>
        <v/>
      </c>
      <c r="D856" s="28" t="n"/>
      <c r="E856" s="28" t="n"/>
      <c r="F856" s="28" t="n"/>
    </row>
    <row r="857" ht="15" customHeight="1" s="19">
      <c r="A857" s="35" t="n"/>
      <c r="B857" s="28" t="n"/>
      <c r="C857" s="32">
        <f>IF(B857="","",IFERROR(INDEX(Inventario!$B$5:$B$200,MATCH(B857,Inventario!$A$5:$A$200,0)),"SKU no existe"))</f>
        <v/>
      </c>
      <c r="D857" s="28" t="n"/>
      <c r="E857" s="28" t="n"/>
      <c r="F857" s="28" t="n"/>
    </row>
    <row r="858" ht="15" customHeight="1" s="19">
      <c r="A858" s="35" t="n"/>
      <c r="B858" s="28" t="n"/>
      <c r="C858" s="32">
        <f>IF(B858="","",IFERROR(INDEX(Inventario!$B$5:$B$200,MATCH(B858,Inventario!$A$5:$A$200,0)),"SKU no existe"))</f>
        <v/>
      </c>
      <c r="D858" s="28" t="n"/>
      <c r="E858" s="28" t="n"/>
      <c r="F858" s="28" t="n"/>
    </row>
    <row r="859" ht="15" customHeight="1" s="19">
      <c r="A859" s="35" t="n"/>
      <c r="B859" s="28" t="n"/>
      <c r="C859" s="32">
        <f>IF(B859="","",IFERROR(INDEX(Inventario!$B$5:$B$200,MATCH(B859,Inventario!$A$5:$A$200,0)),"SKU no existe"))</f>
        <v/>
      </c>
      <c r="D859" s="28" t="n"/>
      <c r="E859" s="28" t="n"/>
      <c r="F859" s="28" t="n"/>
    </row>
    <row r="860" ht="15" customHeight="1" s="19">
      <c r="A860" s="35" t="n"/>
      <c r="B860" s="28" t="n"/>
      <c r="C860" s="32">
        <f>IF(B860="","",IFERROR(INDEX(Inventario!$B$5:$B$200,MATCH(B860,Inventario!$A$5:$A$200,0)),"SKU no existe"))</f>
        <v/>
      </c>
      <c r="D860" s="28" t="n"/>
      <c r="E860" s="28" t="n"/>
      <c r="F860" s="28" t="n"/>
    </row>
    <row r="861" ht="15" customHeight="1" s="19">
      <c r="A861" s="35" t="n"/>
      <c r="B861" s="28" t="n"/>
      <c r="C861" s="32">
        <f>IF(B861="","",IFERROR(INDEX(Inventario!$B$5:$B$200,MATCH(B861,Inventario!$A$5:$A$200,0)),"SKU no existe"))</f>
        <v/>
      </c>
      <c r="D861" s="28" t="n"/>
      <c r="E861" s="28" t="n"/>
      <c r="F861" s="28" t="n"/>
    </row>
    <row r="862" ht="15" customHeight="1" s="19">
      <c r="A862" s="35" t="n"/>
      <c r="B862" s="28" t="n"/>
      <c r="C862" s="32">
        <f>IF(B862="","",IFERROR(INDEX(Inventario!$B$5:$B$200,MATCH(B862,Inventario!$A$5:$A$200,0)),"SKU no existe"))</f>
        <v/>
      </c>
      <c r="D862" s="28" t="n"/>
      <c r="E862" s="28" t="n"/>
      <c r="F862" s="28" t="n"/>
    </row>
    <row r="863" ht="15" customHeight="1" s="19">
      <c r="A863" s="35" t="n"/>
      <c r="B863" s="28" t="n"/>
      <c r="C863" s="32">
        <f>IF(B863="","",IFERROR(INDEX(Inventario!$B$5:$B$200,MATCH(B863,Inventario!$A$5:$A$200,0)),"SKU no existe"))</f>
        <v/>
      </c>
      <c r="D863" s="28" t="n"/>
      <c r="E863" s="28" t="n"/>
      <c r="F863" s="28" t="n"/>
    </row>
    <row r="864" ht="15" customHeight="1" s="19">
      <c r="A864" s="35" t="n"/>
      <c r="B864" s="28" t="n"/>
      <c r="C864" s="32">
        <f>IF(B864="","",IFERROR(INDEX(Inventario!$B$5:$B$200,MATCH(B864,Inventario!$A$5:$A$200,0)),"SKU no existe"))</f>
        <v/>
      </c>
      <c r="D864" s="28" t="n"/>
      <c r="E864" s="28" t="n"/>
      <c r="F864" s="28" t="n"/>
    </row>
    <row r="865" ht="15" customHeight="1" s="19">
      <c r="A865" s="35" t="n"/>
      <c r="B865" s="28" t="n"/>
      <c r="C865" s="32">
        <f>IF(B865="","",IFERROR(INDEX(Inventario!$B$5:$B$200,MATCH(B865,Inventario!$A$5:$A$200,0)),"SKU no existe"))</f>
        <v/>
      </c>
      <c r="D865" s="28" t="n"/>
      <c r="E865" s="28" t="n"/>
      <c r="F865" s="28" t="n"/>
    </row>
    <row r="866" ht="15" customHeight="1" s="19">
      <c r="A866" s="35" t="n"/>
      <c r="B866" s="28" t="n"/>
      <c r="C866" s="32">
        <f>IF(B866="","",IFERROR(INDEX(Inventario!$B$5:$B$200,MATCH(B866,Inventario!$A$5:$A$200,0)),"SKU no existe"))</f>
        <v/>
      </c>
      <c r="D866" s="28" t="n"/>
      <c r="E866" s="28" t="n"/>
      <c r="F866" s="28" t="n"/>
    </row>
    <row r="867" ht="15" customHeight="1" s="19">
      <c r="A867" s="35" t="n"/>
      <c r="B867" s="28" t="n"/>
      <c r="C867" s="32">
        <f>IF(B867="","",IFERROR(INDEX(Inventario!$B$5:$B$200,MATCH(B867,Inventario!$A$5:$A$200,0)),"SKU no existe"))</f>
        <v/>
      </c>
      <c r="D867" s="28" t="n"/>
      <c r="E867" s="28" t="n"/>
      <c r="F867" s="28" t="n"/>
    </row>
    <row r="868" ht="15" customHeight="1" s="19">
      <c r="A868" s="35" t="n"/>
      <c r="B868" s="28" t="n"/>
      <c r="C868" s="32">
        <f>IF(B868="","",IFERROR(INDEX(Inventario!$B$5:$B$200,MATCH(B868,Inventario!$A$5:$A$200,0)),"SKU no existe"))</f>
        <v/>
      </c>
      <c r="D868" s="28" t="n"/>
      <c r="E868" s="28" t="n"/>
      <c r="F868" s="28" t="n"/>
    </row>
    <row r="869" ht="15" customHeight="1" s="19">
      <c r="A869" s="35" t="n"/>
      <c r="B869" s="28" t="n"/>
      <c r="C869" s="32">
        <f>IF(B869="","",IFERROR(INDEX(Inventario!$B$5:$B$200,MATCH(B869,Inventario!$A$5:$A$200,0)),"SKU no existe"))</f>
        <v/>
      </c>
      <c r="D869" s="28" t="n"/>
      <c r="E869" s="28" t="n"/>
      <c r="F869" s="28" t="n"/>
    </row>
    <row r="870" ht="15" customHeight="1" s="19">
      <c r="A870" s="35" t="n"/>
      <c r="B870" s="28" t="n"/>
      <c r="C870" s="32">
        <f>IF(B870="","",IFERROR(INDEX(Inventario!$B$5:$B$200,MATCH(B870,Inventario!$A$5:$A$200,0)),"SKU no existe"))</f>
        <v/>
      </c>
      <c r="D870" s="28" t="n"/>
      <c r="E870" s="28" t="n"/>
      <c r="F870" s="28" t="n"/>
    </row>
    <row r="871" ht="15" customHeight="1" s="19">
      <c r="A871" s="35" t="n"/>
      <c r="B871" s="28" t="n"/>
      <c r="C871" s="32">
        <f>IF(B871="","",IFERROR(INDEX(Inventario!$B$5:$B$200,MATCH(B871,Inventario!$A$5:$A$200,0)),"SKU no existe"))</f>
        <v/>
      </c>
      <c r="D871" s="28" t="n"/>
      <c r="E871" s="28" t="n"/>
      <c r="F871" s="28" t="n"/>
    </row>
    <row r="872" ht="15" customHeight="1" s="19">
      <c r="A872" s="35" t="n"/>
      <c r="B872" s="28" t="n"/>
      <c r="C872" s="32">
        <f>IF(B872="","",IFERROR(INDEX(Inventario!$B$5:$B$200,MATCH(B872,Inventario!$A$5:$A$200,0)),"SKU no existe"))</f>
        <v/>
      </c>
      <c r="D872" s="28" t="n"/>
      <c r="E872" s="28" t="n"/>
      <c r="F872" s="28" t="n"/>
    </row>
    <row r="873" ht="15" customHeight="1" s="19">
      <c r="A873" s="35" t="n"/>
      <c r="B873" s="28" t="n"/>
      <c r="C873" s="32">
        <f>IF(B873="","",IFERROR(INDEX(Inventario!$B$5:$B$200,MATCH(B873,Inventario!$A$5:$A$200,0)),"SKU no existe"))</f>
        <v/>
      </c>
      <c r="D873" s="28" t="n"/>
      <c r="E873" s="28" t="n"/>
      <c r="F873" s="28" t="n"/>
    </row>
    <row r="874" ht="15" customHeight="1" s="19">
      <c r="A874" s="35" t="n"/>
      <c r="B874" s="28" t="n"/>
      <c r="C874" s="32">
        <f>IF(B874="","",IFERROR(INDEX(Inventario!$B$5:$B$200,MATCH(B874,Inventario!$A$5:$A$200,0)),"SKU no existe"))</f>
        <v/>
      </c>
      <c r="D874" s="28" t="n"/>
      <c r="E874" s="28" t="n"/>
      <c r="F874" s="28" t="n"/>
    </row>
    <row r="875" ht="15" customHeight="1" s="19">
      <c r="A875" s="35" t="n"/>
      <c r="B875" s="28" t="n"/>
      <c r="C875" s="32">
        <f>IF(B875="","",IFERROR(INDEX(Inventario!$B$5:$B$200,MATCH(B875,Inventario!$A$5:$A$200,0)),"SKU no existe"))</f>
        <v/>
      </c>
      <c r="D875" s="28" t="n"/>
      <c r="E875" s="28" t="n"/>
      <c r="F875" s="28" t="n"/>
    </row>
    <row r="876" ht="15" customHeight="1" s="19">
      <c r="A876" s="35" t="n"/>
      <c r="B876" s="28" t="n"/>
      <c r="C876" s="32">
        <f>IF(B876="","",IFERROR(INDEX(Inventario!$B$5:$B$200,MATCH(B876,Inventario!$A$5:$A$200,0)),"SKU no existe"))</f>
        <v/>
      </c>
      <c r="D876" s="28" t="n"/>
      <c r="E876" s="28" t="n"/>
      <c r="F876" s="28" t="n"/>
    </row>
    <row r="877" ht="15" customHeight="1" s="19">
      <c r="A877" s="35" t="n"/>
      <c r="B877" s="28" t="n"/>
      <c r="C877" s="32">
        <f>IF(B877="","",IFERROR(INDEX(Inventario!$B$5:$B$200,MATCH(B877,Inventario!$A$5:$A$200,0)),"SKU no existe"))</f>
        <v/>
      </c>
      <c r="D877" s="28" t="n"/>
      <c r="E877" s="28" t="n"/>
      <c r="F877" s="28" t="n"/>
    </row>
    <row r="878" ht="15" customHeight="1" s="19">
      <c r="A878" s="35" t="n"/>
      <c r="B878" s="28" t="n"/>
      <c r="C878" s="32">
        <f>IF(B878="","",IFERROR(INDEX(Inventario!$B$5:$B$200,MATCH(B878,Inventario!$A$5:$A$200,0)),"SKU no existe"))</f>
        <v/>
      </c>
      <c r="D878" s="28" t="n"/>
      <c r="E878" s="28" t="n"/>
      <c r="F878" s="28" t="n"/>
    </row>
    <row r="879" ht="15" customHeight="1" s="19">
      <c r="A879" s="35" t="n"/>
      <c r="B879" s="28" t="n"/>
      <c r="C879" s="32">
        <f>IF(B879="","",IFERROR(INDEX(Inventario!$B$5:$B$200,MATCH(B879,Inventario!$A$5:$A$200,0)),"SKU no existe"))</f>
        <v/>
      </c>
      <c r="D879" s="28" t="n"/>
      <c r="E879" s="28" t="n"/>
      <c r="F879" s="28" t="n"/>
    </row>
    <row r="880" ht="15" customHeight="1" s="19">
      <c r="A880" s="35" t="n"/>
      <c r="B880" s="28" t="n"/>
      <c r="C880" s="32">
        <f>IF(B880="","",IFERROR(INDEX(Inventario!$B$5:$B$200,MATCH(B880,Inventario!$A$5:$A$200,0)),"SKU no existe"))</f>
        <v/>
      </c>
      <c r="D880" s="28" t="n"/>
      <c r="E880" s="28" t="n"/>
      <c r="F880" s="28" t="n"/>
    </row>
    <row r="881" ht="15" customHeight="1" s="19">
      <c r="A881" s="35" t="n"/>
      <c r="B881" s="28" t="n"/>
      <c r="C881" s="32">
        <f>IF(B881="","",IFERROR(INDEX(Inventario!$B$5:$B$200,MATCH(B881,Inventario!$A$5:$A$200,0)),"SKU no existe"))</f>
        <v/>
      </c>
      <c r="D881" s="28" t="n"/>
      <c r="E881" s="28" t="n"/>
      <c r="F881" s="28" t="n"/>
    </row>
    <row r="882" ht="15" customHeight="1" s="19">
      <c r="A882" s="35" t="n"/>
      <c r="B882" s="28" t="n"/>
      <c r="C882" s="32">
        <f>IF(B882="","",IFERROR(INDEX(Inventario!$B$5:$B$200,MATCH(B882,Inventario!$A$5:$A$200,0)),"SKU no existe"))</f>
        <v/>
      </c>
      <c r="D882" s="28" t="n"/>
      <c r="E882" s="28" t="n"/>
      <c r="F882" s="28" t="n"/>
    </row>
    <row r="883" ht="15" customHeight="1" s="19">
      <c r="A883" s="35" t="n"/>
      <c r="B883" s="28" t="n"/>
      <c r="C883" s="32">
        <f>IF(B883="","",IFERROR(INDEX(Inventario!$B$5:$B$200,MATCH(B883,Inventario!$A$5:$A$200,0)),"SKU no existe"))</f>
        <v/>
      </c>
      <c r="D883" s="28" t="n"/>
      <c r="E883" s="28" t="n"/>
      <c r="F883" s="28" t="n"/>
    </row>
    <row r="884" ht="15" customHeight="1" s="19">
      <c r="A884" s="35" t="n"/>
      <c r="B884" s="28" t="n"/>
      <c r="C884" s="32">
        <f>IF(B884="","",IFERROR(INDEX(Inventario!$B$5:$B$200,MATCH(B884,Inventario!$A$5:$A$200,0)),"SKU no existe"))</f>
        <v/>
      </c>
      <c r="D884" s="28" t="n"/>
      <c r="E884" s="28" t="n"/>
      <c r="F884" s="28" t="n"/>
    </row>
    <row r="885" ht="15" customHeight="1" s="19">
      <c r="A885" s="35" t="n"/>
      <c r="B885" s="28" t="n"/>
      <c r="C885" s="32">
        <f>IF(B885="","",IFERROR(INDEX(Inventario!$B$5:$B$200,MATCH(B885,Inventario!$A$5:$A$200,0)),"SKU no existe"))</f>
        <v/>
      </c>
      <c r="D885" s="28" t="n"/>
      <c r="E885" s="28" t="n"/>
      <c r="F885" s="28" t="n"/>
    </row>
    <row r="886" ht="15" customHeight="1" s="19">
      <c r="A886" s="35" t="n"/>
      <c r="B886" s="28" t="n"/>
      <c r="C886" s="32">
        <f>IF(B886="","",IFERROR(INDEX(Inventario!$B$5:$B$200,MATCH(B886,Inventario!$A$5:$A$200,0)),"SKU no existe"))</f>
        <v/>
      </c>
      <c r="D886" s="28" t="n"/>
      <c r="E886" s="28" t="n"/>
      <c r="F886" s="28" t="n"/>
    </row>
    <row r="887" ht="15" customHeight="1" s="19">
      <c r="A887" s="35" t="n"/>
      <c r="B887" s="28" t="n"/>
      <c r="C887" s="32">
        <f>IF(B887="","",IFERROR(INDEX(Inventario!$B$5:$B$200,MATCH(B887,Inventario!$A$5:$A$200,0)),"SKU no existe"))</f>
        <v/>
      </c>
      <c r="D887" s="28" t="n"/>
      <c r="E887" s="28" t="n"/>
      <c r="F887" s="28" t="n"/>
    </row>
    <row r="888" ht="15" customHeight="1" s="19">
      <c r="A888" s="35" t="n"/>
      <c r="B888" s="28" t="n"/>
      <c r="C888" s="32">
        <f>IF(B888="","",IFERROR(INDEX(Inventario!$B$5:$B$200,MATCH(B888,Inventario!$A$5:$A$200,0)),"SKU no existe"))</f>
        <v/>
      </c>
      <c r="D888" s="28" t="n"/>
      <c r="E888" s="28" t="n"/>
      <c r="F888" s="28" t="n"/>
    </row>
    <row r="889" ht="15" customHeight="1" s="19">
      <c r="A889" s="35" t="n"/>
      <c r="B889" s="28" t="n"/>
      <c r="C889" s="32">
        <f>IF(B889="","",IFERROR(INDEX(Inventario!$B$5:$B$200,MATCH(B889,Inventario!$A$5:$A$200,0)),"SKU no existe"))</f>
        <v/>
      </c>
      <c r="D889" s="28" t="n"/>
      <c r="E889" s="28" t="n"/>
      <c r="F889" s="28" t="n"/>
    </row>
    <row r="890" ht="15" customHeight="1" s="19">
      <c r="A890" s="35" t="n"/>
      <c r="B890" s="28" t="n"/>
      <c r="C890" s="32">
        <f>IF(B890="","",IFERROR(INDEX(Inventario!$B$5:$B$200,MATCH(B890,Inventario!$A$5:$A$200,0)),"SKU no existe"))</f>
        <v/>
      </c>
      <c r="D890" s="28" t="n"/>
      <c r="E890" s="28" t="n"/>
      <c r="F890" s="28" t="n"/>
    </row>
    <row r="891" ht="15" customHeight="1" s="19">
      <c r="A891" s="35" t="n"/>
      <c r="B891" s="28" t="n"/>
      <c r="C891" s="32">
        <f>IF(B891="","",IFERROR(INDEX(Inventario!$B$5:$B$200,MATCH(B891,Inventario!$A$5:$A$200,0)),"SKU no existe"))</f>
        <v/>
      </c>
      <c r="D891" s="28" t="n"/>
      <c r="E891" s="28" t="n"/>
      <c r="F891" s="28" t="n"/>
    </row>
    <row r="892" ht="15" customHeight="1" s="19">
      <c r="A892" s="35" t="n"/>
      <c r="B892" s="28" t="n"/>
      <c r="C892" s="32">
        <f>IF(B892="","",IFERROR(INDEX(Inventario!$B$5:$B$200,MATCH(B892,Inventario!$A$5:$A$200,0)),"SKU no existe"))</f>
        <v/>
      </c>
      <c r="D892" s="28" t="n"/>
      <c r="E892" s="28" t="n"/>
      <c r="F892" s="28" t="n"/>
    </row>
    <row r="893" ht="15" customHeight="1" s="19">
      <c r="A893" s="35" t="n"/>
      <c r="B893" s="28" t="n"/>
      <c r="C893" s="32">
        <f>IF(B893="","",IFERROR(INDEX(Inventario!$B$5:$B$200,MATCH(B893,Inventario!$A$5:$A$200,0)),"SKU no existe"))</f>
        <v/>
      </c>
      <c r="D893" s="28" t="n"/>
      <c r="E893" s="28" t="n"/>
      <c r="F893" s="28" t="n"/>
    </row>
    <row r="894" ht="15" customHeight="1" s="19">
      <c r="A894" s="35" t="n"/>
      <c r="B894" s="28" t="n"/>
      <c r="C894" s="32">
        <f>IF(B894="","",IFERROR(INDEX(Inventario!$B$5:$B$200,MATCH(B894,Inventario!$A$5:$A$200,0)),"SKU no existe"))</f>
        <v/>
      </c>
      <c r="D894" s="28" t="n"/>
      <c r="E894" s="28" t="n"/>
      <c r="F894" s="28" t="n"/>
    </row>
    <row r="895" ht="15" customHeight="1" s="19">
      <c r="A895" s="35" t="n"/>
      <c r="B895" s="28" t="n"/>
      <c r="C895" s="32">
        <f>IF(B895="","",IFERROR(INDEX(Inventario!$B$5:$B$200,MATCH(B895,Inventario!$A$5:$A$200,0)),"SKU no existe"))</f>
        <v/>
      </c>
      <c r="D895" s="28" t="n"/>
      <c r="E895" s="28" t="n"/>
      <c r="F895" s="28" t="n"/>
    </row>
    <row r="896" ht="15" customHeight="1" s="19">
      <c r="A896" s="35" t="n"/>
      <c r="B896" s="28" t="n"/>
      <c r="C896" s="32">
        <f>IF(B896="","",IFERROR(INDEX(Inventario!$B$5:$B$200,MATCH(B896,Inventario!$A$5:$A$200,0)),"SKU no existe"))</f>
        <v/>
      </c>
      <c r="D896" s="28" t="n"/>
      <c r="E896" s="28" t="n"/>
      <c r="F896" s="28" t="n"/>
    </row>
    <row r="897" ht="15" customHeight="1" s="19">
      <c r="A897" s="35" t="n"/>
      <c r="B897" s="28" t="n"/>
      <c r="C897" s="32">
        <f>IF(B897="","",IFERROR(INDEX(Inventario!$B$5:$B$200,MATCH(B897,Inventario!$A$5:$A$200,0)),"SKU no existe"))</f>
        <v/>
      </c>
      <c r="D897" s="28" t="n"/>
      <c r="E897" s="28" t="n"/>
      <c r="F897" s="28" t="n"/>
    </row>
    <row r="898" ht="15" customHeight="1" s="19">
      <c r="A898" s="35" t="n"/>
      <c r="B898" s="28" t="n"/>
      <c r="C898" s="32">
        <f>IF(B898="","",IFERROR(INDEX(Inventario!$B$5:$B$200,MATCH(B898,Inventario!$A$5:$A$200,0)),"SKU no existe"))</f>
        <v/>
      </c>
      <c r="D898" s="28" t="n"/>
      <c r="E898" s="28" t="n"/>
      <c r="F898" s="28" t="n"/>
    </row>
    <row r="899" ht="15" customHeight="1" s="19">
      <c r="A899" s="35" t="n"/>
      <c r="B899" s="28" t="n"/>
      <c r="C899" s="32">
        <f>IF(B899="","",IFERROR(INDEX(Inventario!$B$5:$B$200,MATCH(B899,Inventario!$A$5:$A$200,0)),"SKU no existe"))</f>
        <v/>
      </c>
      <c r="D899" s="28" t="n"/>
      <c r="E899" s="28" t="n"/>
      <c r="F899" s="28" t="n"/>
    </row>
    <row r="900" ht="15" customHeight="1" s="19">
      <c r="A900" s="35" t="n"/>
      <c r="B900" s="28" t="n"/>
      <c r="C900" s="32">
        <f>IF(B900="","",IFERROR(INDEX(Inventario!$B$5:$B$200,MATCH(B900,Inventario!$A$5:$A$200,0)),"SKU no existe"))</f>
        <v/>
      </c>
      <c r="D900" s="28" t="n"/>
      <c r="E900" s="28" t="n"/>
      <c r="F900" s="28" t="n"/>
    </row>
    <row r="901" ht="15" customHeight="1" s="19">
      <c r="A901" s="35" t="n"/>
      <c r="B901" s="28" t="n"/>
      <c r="C901" s="32">
        <f>IF(B901="","",IFERROR(INDEX(Inventario!$B$5:$B$200,MATCH(B901,Inventario!$A$5:$A$200,0)),"SKU no existe"))</f>
        <v/>
      </c>
      <c r="D901" s="28" t="n"/>
      <c r="E901" s="28" t="n"/>
      <c r="F901" s="28" t="n"/>
    </row>
    <row r="902" ht="15" customHeight="1" s="19">
      <c r="A902" s="35" t="n"/>
      <c r="B902" s="28" t="n"/>
      <c r="C902" s="32">
        <f>IF(B902="","",IFERROR(INDEX(Inventario!$B$5:$B$200,MATCH(B902,Inventario!$A$5:$A$200,0)),"SKU no existe"))</f>
        <v/>
      </c>
      <c r="D902" s="28" t="n"/>
      <c r="E902" s="28" t="n"/>
      <c r="F902" s="28" t="n"/>
    </row>
    <row r="903" ht="15" customHeight="1" s="19">
      <c r="A903" s="35" t="n"/>
      <c r="B903" s="28" t="n"/>
      <c r="C903" s="32">
        <f>IF(B903="","",IFERROR(INDEX(Inventario!$B$5:$B$200,MATCH(B903,Inventario!$A$5:$A$200,0)),"SKU no existe"))</f>
        <v/>
      </c>
      <c r="D903" s="28" t="n"/>
      <c r="E903" s="28" t="n"/>
      <c r="F903" s="28" t="n"/>
    </row>
    <row r="904" ht="15" customHeight="1" s="19">
      <c r="A904" s="35" t="n"/>
      <c r="B904" s="28" t="n"/>
      <c r="C904" s="32">
        <f>IF(B904="","",IFERROR(INDEX(Inventario!$B$5:$B$200,MATCH(B904,Inventario!$A$5:$A$200,0)),"SKU no existe"))</f>
        <v/>
      </c>
      <c r="D904" s="28" t="n"/>
      <c r="E904" s="28" t="n"/>
      <c r="F904" s="28" t="n"/>
    </row>
    <row r="905" ht="15" customHeight="1" s="19">
      <c r="A905" s="35" t="n"/>
      <c r="B905" s="28" t="n"/>
      <c r="C905" s="32">
        <f>IF(B905="","",IFERROR(INDEX(Inventario!$B$5:$B$200,MATCH(B905,Inventario!$A$5:$A$200,0)),"SKU no existe"))</f>
        <v/>
      </c>
      <c r="D905" s="28" t="n"/>
      <c r="E905" s="28" t="n"/>
      <c r="F905" s="28" t="n"/>
    </row>
    <row r="906" ht="15" customHeight="1" s="19">
      <c r="A906" s="35" t="n"/>
      <c r="B906" s="28" t="n"/>
      <c r="C906" s="32">
        <f>IF(B906="","",IFERROR(INDEX(Inventario!$B$5:$B$200,MATCH(B906,Inventario!$A$5:$A$200,0)),"SKU no existe"))</f>
        <v/>
      </c>
      <c r="D906" s="28" t="n"/>
      <c r="E906" s="28" t="n"/>
      <c r="F906" s="28" t="n"/>
    </row>
    <row r="907" ht="15" customHeight="1" s="19">
      <c r="A907" s="35" t="n"/>
      <c r="B907" s="28" t="n"/>
      <c r="C907" s="32">
        <f>IF(B907="","",IFERROR(INDEX(Inventario!$B$5:$B$200,MATCH(B907,Inventario!$A$5:$A$200,0)),"SKU no existe"))</f>
        <v/>
      </c>
      <c r="D907" s="28" t="n"/>
      <c r="E907" s="28" t="n"/>
      <c r="F907" s="28" t="n"/>
    </row>
    <row r="908" ht="15" customHeight="1" s="19">
      <c r="A908" s="35" t="n"/>
      <c r="B908" s="28" t="n"/>
      <c r="C908" s="32">
        <f>IF(B908="","",IFERROR(INDEX(Inventario!$B$5:$B$200,MATCH(B908,Inventario!$A$5:$A$200,0)),"SKU no existe"))</f>
        <v/>
      </c>
      <c r="D908" s="28" t="n"/>
      <c r="E908" s="28" t="n"/>
      <c r="F908" s="28" t="n"/>
    </row>
    <row r="909" ht="15" customHeight="1" s="19">
      <c r="A909" s="35" t="n"/>
      <c r="B909" s="28" t="n"/>
      <c r="C909" s="32">
        <f>IF(B909="","",IFERROR(INDEX(Inventario!$B$5:$B$200,MATCH(B909,Inventario!$A$5:$A$200,0)),"SKU no existe"))</f>
        <v/>
      </c>
      <c r="D909" s="28" t="n"/>
      <c r="E909" s="28" t="n"/>
      <c r="F909" s="28" t="n"/>
    </row>
    <row r="910" ht="15" customHeight="1" s="19">
      <c r="A910" s="35" t="n"/>
      <c r="B910" s="28" t="n"/>
      <c r="C910" s="32">
        <f>IF(B910="","",IFERROR(INDEX(Inventario!$B$5:$B$200,MATCH(B910,Inventario!$A$5:$A$200,0)),"SKU no existe"))</f>
        <v/>
      </c>
      <c r="D910" s="28" t="n"/>
      <c r="E910" s="28" t="n"/>
      <c r="F910" s="28" t="n"/>
    </row>
    <row r="911" ht="15" customHeight="1" s="19">
      <c r="A911" s="35" t="n"/>
      <c r="B911" s="28" t="n"/>
      <c r="C911" s="32">
        <f>IF(B911="","",IFERROR(INDEX(Inventario!$B$5:$B$200,MATCH(B911,Inventario!$A$5:$A$200,0)),"SKU no existe"))</f>
        <v/>
      </c>
      <c r="D911" s="28" t="n"/>
      <c r="E911" s="28" t="n"/>
      <c r="F911" s="28" t="n"/>
    </row>
    <row r="912" ht="15" customHeight="1" s="19">
      <c r="A912" s="35" t="n"/>
      <c r="B912" s="28" t="n"/>
      <c r="C912" s="32">
        <f>IF(B912="","",IFERROR(INDEX(Inventario!$B$5:$B$200,MATCH(B912,Inventario!$A$5:$A$200,0)),"SKU no existe"))</f>
        <v/>
      </c>
      <c r="D912" s="28" t="n"/>
      <c r="E912" s="28" t="n"/>
      <c r="F912" s="28" t="n"/>
    </row>
    <row r="913" ht="15" customHeight="1" s="19">
      <c r="A913" s="35" t="n"/>
      <c r="B913" s="28" t="n"/>
      <c r="C913" s="32">
        <f>IF(B913="","",IFERROR(INDEX(Inventario!$B$5:$B$200,MATCH(B913,Inventario!$A$5:$A$200,0)),"SKU no existe"))</f>
        <v/>
      </c>
      <c r="D913" s="28" t="n"/>
      <c r="E913" s="28" t="n"/>
      <c r="F913" s="28" t="n"/>
    </row>
    <row r="914" ht="15" customHeight="1" s="19">
      <c r="A914" s="35" t="n"/>
      <c r="B914" s="28" t="n"/>
      <c r="C914" s="32">
        <f>IF(B914="","",IFERROR(INDEX(Inventario!$B$5:$B$200,MATCH(B914,Inventario!$A$5:$A$200,0)),"SKU no existe"))</f>
        <v/>
      </c>
      <c r="D914" s="28" t="n"/>
      <c r="E914" s="28" t="n"/>
      <c r="F914" s="28" t="n"/>
    </row>
    <row r="915" ht="15" customHeight="1" s="19">
      <c r="A915" s="35" t="n"/>
      <c r="B915" s="28" t="n"/>
      <c r="C915" s="32">
        <f>IF(B915="","",IFERROR(INDEX(Inventario!$B$5:$B$200,MATCH(B915,Inventario!$A$5:$A$200,0)),"SKU no existe"))</f>
        <v/>
      </c>
      <c r="D915" s="28" t="n"/>
      <c r="E915" s="28" t="n"/>
      <c r="F915" s="28" t="n"/>
    </row>
    <row r="916" ht="15" customHeight="1" s="19">
      <c r="A916" s="35" t="n"/>
      <c r="B916" s="28" t="n"/>
      <c r="C916" s="32">
        <f>IF(B916="","",IFERROR(INDEX(Inventario!$B$5:$B$200,MATCH(B916,Inventario!$A$5:$A$200,0)),"SKU no existe"))</f>
        <v/>
      </c>
      <c r="D916" s="28" t="n"/>
      <c r="E916" s="28" t="n"/>
      <c r="F916" s="28" t="n"/>
    </row>
    <row r="917" ht="15" customHeight="1" s="19">
      <c r="A917" s="35" t="n"/>
      <c r="B917" s="28" t="n"/>
      <c r="C917" s="32">
        <f>IF(B917="","",IFERROR(INDEX(Inventario!$B$5:$B$200,MATCH(B917,Inventario!$A$5:$A$200,0)),"SKU no existe"))</f>
        <v/>
      </c>
      <c r="D917" s="28" t="n"/>
      <c r="E917" s="28" t="n"/>
      <c r="F917" s="28" t="n"/>
    </row>
    <row r="918" ht="15" customHeight="1" s="19">
      <c r="A918" s="35" t="n"/>
      <c r="B918" s="28" t="n"/>
      <c r="C918" s="32">
        <f>IF(B918="","",IFERROR(INDEX(Inventario!$B$5:$B$200,MATCH(B918,Inventario!$A$5:$A$200,0)),"SKU no existe"))</f>
        <v/>
      </c>
      <c r="D918" s="28" t="n"/>
      <c r="E918" s="28" t="n"/>
      <c r="F918" s="28" t="n"/>
    </row>
    <row r="919" ht="15" customHeight="1" s="19">
      <c r="A919" s="35" t="n"/>
      <c r="B919" s="28" t="n"/>
      <c r="C919" s="32">
        <f>IF(B919="","",IFERROR(INDEX(Inventario!$B$5:$B$200,MATCH(B919,Inventario!$A$5:$A$200,0)),"SKU no existe"))</f>
        <v/>
      </c>
      <c r="D919" s="28" t="n"/>
      <c r="E919" s="28" t="n"/>
      <c r="F919" s="28" t="n"/>
    </row>
    <row r="920" ht="15" customHeight="1" s="19">
      <c r="A920" s="35" t="n"/>
      <c r="B920" s="28" t="n"/>
      <c r="C920" s="32">
        <f>IF(B920="","",IFERROR(INDEX(Inventario!$B$5:$B$200,MATCH(B920,Inventario!$A$5:$A$200,0)),"SKU no existe"))</f>
        <v/>
      </c>
      <c r="D920" s="28" t="n"/>
      <c r="E920" s="28" t="n"/>
      <c r="F920" s="28" t="n"/>
    </row>
    <row r="921" ht="15" customHeight="1" s="19">
      <c r="A921" s="35" t="n"/>
      <c r="B921" s="28" t="n"/>
      <c r="C921" s="32">
        <f>IF(B921="","",IFERROR(INDEX(Inventario!$B$5:$B$200,MATCH(B921,Inventario!$A$5:$A$200,0)),"SKU no existe"))</f>
        <v/>
      </c>
      <c r="D921" s="28" t="n"/>
      <c r="E921" s="28" t="n"/>
      <c r="F921" s="28" t="n"/>
    </row>
    <row r="922" ht="15" customHeight="1" s="19">
      <c r="A922" s="35" t="n"/>
      <c r="B922" s="28" t="n"/>
      <c r="C922" s="32">
        <f>IF(B922="","",IFERROR(INDEX(Inventario!$B$5:$B$200,MATCH(B922,Inventario!$A$5:$A$200,0)),"SKU no existe"))</f>
        <v/>
      </c>
      <c r="D922" s="28" t="n"/>
      <c r="E922" s="28" t="n"/>
      <c r="F922" s="28" t="n"/>
    </row>
    <row r="923" ht="15" customHeight="1" s="19">
      <c r="A923" s="35" t="n"/>
      <c r="B923" s="28" t="n"/>
      <c r="C923" s="32">
        <f>IF(B923="","",IFERROR(INDEX(Inventario!$B$5:$B$200,MATCH(B923,Inventario!$A$5:$A$200,0)),"SKU no existe"))</f>
        <v/>
      </c>
      <c r="D923" s="28" t="n"/>
      <c r="E923" s="28" t="n"/>
      <c r="F923" s="28" t="n"/>
    </row>
    <row r="924" ht="15" customHeight="1" s="19">
      <c r="A924" s="35" t="n"/>
      <c r="B924" s="28" t="n"/>
      <c r="C924" s="32">
        <f>IF(B924="","",IFERROR(INDEX(Inventario!$B$5:$B$200,MATCH(B924,Inventario!$A$5:$A$200,0)),"SKU no existe"))</f>
        <v/>
      </c>
      <c r="D924" s="28" t="n"/>
      <c r="E924" s="28" t="n"/>
      <c r="F924" s="28" t="n"/>
    </row>
    <row r="925" ht="15" customHeight="1" s="19">
      <c r="A925" s="35" t="n"/>
      <c r="B925" s="28" t="n"/>
      <c r="C925" s="32">
        <f>IF(B925="","",IFERROR(INDEX(Inventario!$B$5:$B$200,MATCH(B925,Inventario!$A$5:$A$200,0)),"SKU no existe"))</f>
        <v/>
      </c>
      <c r="D925" s="28" t="n"/>
      <c r="E925" s="28" t="n"/>
      <c r="F925" s="28" t="n"/>
    </row>
    <row r="926" ht="15" customHeight="1" s="19">
      <c r="A926" s="35" t="n"/>
      <c r="B926" s="28" t="n"/>
      <c r="C926" s="32">
        <f>IF(B926="","",IFERROR(INDEX(Inventario!$B$5:$B$200,MATCH(B926,Inventario!$A$5:$A$200,0)),"SKU no existe"))</f>
        <v/>
      </c>
      <c r="D926" s="28" t="n"/>
      <c r="E926" s="28" t="n"/>
      <c r="F926" s="28" t="n"/>
    </row>
    <row r="927" ht="15" customHeight="1" s="19">
      <c r="A927" s="35" t="n"/>
      <c r="B927" s="28" t="n"/>
      <c r="C927" s="32">
        <f>IF(B927="","",IFERROR(INDEX(Inventario!$B$5:$B$200,MATCH(B927,Inventario!$A$5:$A$200,0)),"SKU no existe"))</f>
        <v/>
      </c>
      <c r="D927" s="28" t="n"/>
      <c r="E927" s="28" t="n"/>
      <c r="F927" s="28" t="n"/>
    </row>
    <row r="928" ht="15" customHeight="1" s="19">
      <c r="A928" s="35" t="n"/>
      <c r="B928" s="28" t="n"/>
      <c r="C928" s="32">
        <f>IF(B928="","",IFERROR(INDEX(Inventario!$B$5:$B$200,MATCH(B928,Inventario!$A$5:$A$200,0)),"SKU no existe"))</f>
        <v/>
      </c>
      <c r="D928" s="28" t="n"/>
      <c r="E928" s="28" t="n"/>
      <c r="F928" s="28" t="n"/>
    </row>
    <row r="929" ht="15" customHeight="1" s="19">
      <c r="A929" s="35" t="n"/>
      <c r="B929" s="28" t="n"/>
      <c r="C929" s="32">
        <f>IF(B929="","",IFERROR(INDEX(Inventario!$B$5:$B$200,MATCH(B929,Inventario!$A$5:$A$200,0)),"SKU no existe"))</f>
        <v/>
      </c>
      <c r="D929" s="28" t="n"/>
      <c r="E929" s="28" t="n"/>
      <c r="F929" s="28" t="n"/>
    </row>
    <row r="930" ht="15" customHeight="1" s="19">
      <c r="A930" s="35" t="n"/>
      <c r="B930" s="28" t="n"/>
      <c r="C930" s="32">
        <f>IF(B930="","",IFERROR(INDEX(Inventario!$B$5:$B$200,MATCH(B930,Inventario!$A$5:$A$200,0)),"SKU no existe"))</f>
        <v/>
      </c>
      <c r="D930" s="28" t="n"/>
      <c r="E930" s="28" t="n"/>
      <c r="F930" s="28" t="n"/>
    </row>
    <row r="931" ht="15" customHeight="1" s="19">
      <c r="A931" s="35" t="n"/>
      <c r="B931" s="28" t="n"/>
      <c r="C931" s="32">
        <f>IF(B931="","",IFERROR(INDEX(Inventario!$B$5:$B$200,MATCH(B931,Inventario!$A$5:$A$200,0)),"SKU no existe"))</f>
        <v/>
      </c>
      <c r="D931" s="28" t="n"/>
      <c r="E931" s="28" t="n"/>
      <c r="F931" s="28" t="n"/>
    </row>
    <row r="932" ht="15" customHeight="1" s="19">
      <c r="A932" s="35" t="n"/>
      <c r="B932" s="28" t="n"/>
      <c r="C932" s="32">
        <f>IF(B932="","",IFERROR(INDEX(Inventario!$B$5:$B$200,MATCH(B932,Inventario!$A$5:$A$200,0)),"SKU no existe"))</f>
        <v/>
      </c>
      <c r="D932" s="28" t="n"/>
      <c r="E932" s="28" t="n"/>
      <c r="F932" s="28" t="n"/>
    </row>
    <row r="933" ht="15" customHeight="1" s="19">
      <c r="A933" s="35" t="n"/>
      <c r="B933" s="28" t="n"/>
      <c r="C933" s="32">
        <f>IF(B933="","",IFERROR(INDEX(Inventario!$B$5:$B$200,MATCH(B933,Inventario!$A$5:$A$200,0)),"SKU no existe"))</f>
        <v/>
      </c>
      <c r="D933" s="28" t="n"/>
      <c r="E933" s="28" t="n"/>
      <c r="F933" s="28" t="n"/>
    </row>
    <row r="934" ht="15" customHeight="1" s="19">
      <c r="A934" s="35" t="n"/>
      <c r="B934" s="28" t="n"/>
      <c r="C934" s="32">
        <f>IF(B934="","",IFERROR(INDEX(Inventario!$B$5:$B$200,MATCH(B934,Inventario!$A$5:$A$200,0)),"SKU no existe"))</f>
        <v/>
      </c>
      <c r="D934" s="28" t="n"/>
      <c r="E934" s="28" t="n"/>
      <c r="F934" s="28" t="n"/>
    </row>
    <row r="935" ht="15" customHeight="1" s="19">
      <c r="A935" s="35" t="n"/>
      <c r="B935" s="28" t="n"/>
      <c r="C935" s="32">
        <f>IF(B935="","",IFERROR(INDEX(Inventario!$B$5:$B$200,MATCH(B935,Inventario!$A$5:$A$200,0)),"SKU no existe"))</f>
        <v/>
      </c>
      <c r="D935" s="28" t="n"/>
      <c r="E935" s="28" t="n"/>
      <c r="F935" s="28" t="n"/>
    </row>
    <row r="936" ht="15" customHeight="1" s="19">
      <c r="A936" s="35" t="n"/>
      <c r="B936" s="28" t="n"/>
      <c r="C936" s="32">
        <f>IF(B936="","",IFERROR(INDEX(Inventario!$B$5:$B$200,MATCH(B936,Inventario!$A$5:$A$200,0)),"SKU no existe"))</f>
        <v/>
      </c>
      <c r="D936" s="28" t="n"/>
      <c r="E936" s="28" t="n"/>
      <c r="F936" s="28" t="n"/>
    </row>
    <row r="937" ht="15" customHeight="1" s="19">
      <c r="A937" s="35" t="n"/>
      <c r="B937" s="28" t="n"/>
      <c r="C937" s="32">
        <f>IF(B937="","",IFERROR(INDEX(Inventario!$B$5:$B$200,MATCH(B937,Inventario!$A$5:$A$200,0)),"SKU no existe"))</f>
        <v/>
      </c>
      <c r="D937" s="28" t="n"/>
      <c r="E937" s="28" t="n"/>
      <c r="F937" s="28" t="n"/>
    </row>
    <row r="938" ht="15" customHeight="1" s="19">
      <c r="A938" s="35" t="n"/>
      <c r="B938" s="28" t="n"/>
      <c r="C938" s="32">
        <f>IF(B938="","",IFERROR(INDEX(Inventario!$B$5:$B$200,MATCH(B938,Inventario!$A$5:$A$200,0)),"SKU no existe"))</f>
        <v/>
      </c>
      <c r="D938" s="28" t="n"/>
      <c r="E938" s="28" t="n"/>
      <c r="F938" s="28" t="n"/>
    </row>
    <row r="939" ht="15" customHeight="1" s="19">
      <c r="A939" s="35" t="n"/>
      <c r="B939" s="28" t="n"/>
      <c r="C939" s="32">
        <f>IF(B939="","",IFERROR(INDEX(Inventario!$B$5:$B$200,MATCH(B939,Inventario!$A$5:$A$200,0)),"SKU no existe"))</f>
        <v/>
      </c>
      <c r="D939" s="28" t="n"/>
      <c r="E939" s="28" t="n"/>
      <c r="F939" s="28" t="n"/>
    </row>
    <row r="940" ht="15" customHeight="1" s="19">
      <c r="A940" s="35" t="n"/>
      <c r="B940" s="28" t="n"/>
      <c r="C940" s="32">
        <f>IF(B940="","",IFERROR(INDEX(Inventario!$B$5:$B$200,MATCH(B940,Inventario!$A$5:$A$200,0)),"SKU no existe"))</f>
        <v/>
      </c>
      <c r="D940" s="28" t="n"/>
      <c r="E940" s="28" t="n"/>
      <c r="F940" s="28" t="n"/>
    </row>
    <row r="941" ht="15" customHeight="1" s="19">
      <c r="A941" s="35" t="n"/>
      <c r="B941" s="28" t="n"/>
      <c r="C941" s="32">
        <f>IF(B941="","",IFERROR(INDEX(Inventario!$B$5:$B$200,MATCH(B941,Inventario!$A$5:$A$200,0)),"SKU no existe"))</f>
        <v/>
      </c>
      <c r="D941" s="28" t="n"/>
      <c r="E941" s="28" t="n"/>
      <c r="F941" s="28" t="n"/>
    </row>
    <row r="942" ht="15" customHeight="1" s="19">
      <c r="A942" s="35" t="n"/>
      <c r="B942" s="28" t="n"/>
      <c r="C942" s="32">
        <f>IF(B942="","",IFERROR(INDEX(Inventario!$B$5:$B$200,MATCH(B942,Inventario!$A$5:$A$200,0)),"SKU no existe"))</f>
        <v/>
      </c>
      <c r="D942" s="28" t="n"/>
      <c r="E942" s="28" t="n"/>
      <c r="F942" s="28" t="n"/>
    </row>
    <row r="943" ht="15" customHeight="1" s="19">
      <c r="A943" s="35" t="n"/>
      <c r="B943" s="28" t="n"/>
      <c r="C943" s="32">
        <f>IF(B943="","",IFERROR(INDEX(Inventario!$B$5:$B$200,MATCH(B943,Inventario!$A$5:$A$200,0)),"SKU no existe"))</f>
        <v/>
      </c>
      <c r="D943" s="28" t="n"/>
      <c r="E943" s="28" t="n"/>
      <c r="F943" s="28" t="n"/>
    </row>
    <row r="944" ht="15" customHeight="1" s="19">
      <c r="A944" s="35" t="n"/>
      <c r="B944" s="28" t="n"/>
      <c r="C944" s="32">
        <f>IF(B944="","",IFERROR(INDEX(Inventario!$B$5:$B$200,MATCH(B944,Inventario!$A$5:$A$200,0)),"SKU no existe"))</f>
        <v/>
      </c>
      <c r="D944" s="28" t="n"/>
      <c r="E944" s="28" t="n"/>
      <c r="F944" s="28" t="n"/>
    </row>
    <row r="945" ht="15" customHeight="1" s="19">
      <c r="A945" s="35" t="n"/>
      <c r="B945" s="28" t="n"/>
      <c r="C945" s="32">
        <f>IF(B945="","",IFERROR(INDEX(Inventario!$B$5:$B$200,MATCH(B945,Inventario!$A$5:$A$200,0)),"SKU no existe"))</f>
        <v/>
      </c>
      <c r="D945" s="28" t="n"/>
      <c r="E945" s="28" t="n"/>
      <c r="F945" s="28" t="n"/>
    </row>
    <row r="946" ht="15" customHeight="1" s="19">
      <c r="A946" s="35" t="n"/>
      <c r="B946" s="28" t="n"/>
      <c r="C946" s="32">
        <f>IF(B946="","",IFERROR(INDEX(Inventario!$B$5:$B$200,MATCH(B946,Inventario!$A$5:$A$200,0)),"SKU no existe"))</f>
        <v/>
      </c>
      <c r="D946" s="28" t="n"/>
      <c r="E946" s="28" t="n"/>
      <c r="F946" s="28" t="n"/>
    </row>
    <row r="947" ht="15" customHeight="1" s="19">
      <c r="A947" s="35" t="n"/>
      <c r="B947" s="28" t="n"/>
      <c r="C947" s="32">
        <f>IF(B947="","",IFERROR(INDEX(Inventario!$B$5:$B$200,MATCH(B947,Inventario!$A$5:$A$200,0)),"SKU no existe"))</f>
        <v/>
      </c>
      <c r="D947" s="28" t="n"/>
      <c r="E947" s="28" t="n"/>
      <c r="F947" s="28" t="n"/>
    </row>
    <row r="948" ht="15" customHeight="1" s="19">
      <c r="A948" s="35" t="n"/>
      <c r="B948" s="28" t="n"/>
      <c r="C948" s="32">
        <f>IF(B948="","",IFERROR(INDEX(Inventario!$B$5:$B$200,MATCH(B948,Inventario!$A$5:$A$200,0)),"SKU no existe"))</f>
        <v/>
      </c>
      <c r="D948" s="28" t="n"/>
      <c r="E948" s="28" t="n"/>
      <c r="F948" s="28" t="n"/>
    </row>
    <row r="949" ht="15" customHeight="1" s="19">
      <c r="A949" s="35" t="n"/>
      <c r="B949" s="28" t="n"/>
      <c r="C949" s="32">
        <f>IF(B949="","",IFERROR(INDEX(Inventario!$B$5:$B$200,MATCH(B949,Inventario!$A$5:$A$200,0)),"SKU no existe"))</f>
        <v/>
      </c>
      <c r="D949" s="28" t="n"/>
      <c r="E949" s="28" t="n"/>
      <c r="F949" s="28" t="n"/>
    </row>
    <row r="950" ht="15" customHeight="1" s="19">
      <c r="A950" s="35" t="n"/>
      <c r="B950" s="28" t="n"/>
      <c r="C950" s="32">
        <f>IF(B950="","",IFERROR(INDEX(Inventario!$B$5:$B$200,MATCH(B950,Inventario!$A$5:$A$200,0)),"SKU no existe"))</f>
        <v/>
      </c>
      <c r="D950" s="28" t="n"/>
      <c r="E950" s="28" t="n"/>
      <c r="F950" s="28" t="n"/>
    </row>
    <row r="951" ht="15" customHeight="1" s="19">
      <c r="A951" s="35" t="n"/>
      <c r="B951" s="28" t="n"/>
      <c r="C951" s="32">
        <f>IF(B951="","",IFERROR(INDEX(Inventario!$B$5:$B$200,MATCH(B951,Inventario!$A$5:$A$200,0)),"SKU no existe"))</f>
        <v/>
      </c>
      <c r="D951" s="28" t="n"/>
      <c r="E951" s="28" t="n"/>
      <c r="F951" s="28" t="n"/>
    </row>
    <row r="952" ht="15" customHeight="1" s="19">
      <c r="A952" s="35" t="n"/>
      <c r="B952" s="28" t="n"/>
      <c r="C952" s="32">
        <f>IF(B952="","",IFERROR(INDEX(Inventario!$B$5:$B$200,MATCH(B952,Inventario!$A$5:$A$200,0)),"SKU no existe"))</f>
        <v/>
      </c>
      <c r="D952" s="28" t="n"/>
      <c r="E952" s="28" t="n"/>
      <c r="F952" s="28" t="n"/>
    </row>
    <row r="953" ht="15" customHeight="1" s="19">
      <c r="A953" s="35" t="n"/>
      <c r="B953" s="28" t="n"/>
      <c r="C953" s="32">
        <f>IF(B953="","",IFERROR(INDEX(Inventario!$B$5:$B$200,MATCH(B953,Inventario!$A$5:$A$200,0)),"SKU no existe"))</f>
        <v/>
      </c>
      <c r="D953" s="28" t="n"/>
      <c r="E953" s="28" t="n"/>
      <c r="F953" s="28" t="n"/>
    </row>
    <row r="954" ht="15" customHeight="1" s="19">
      <c r="A954" s="35" t="n"/>
      <c r="B954" s="28" t="n"/>
      <c r="C954" s="32">
        <f>IF(B954="","",IFERROR(INDEX(Inventario!$B$5:$B$200,MATCH(B954,Inventario!$A$5:$A$200,0)),"SKU no existe"))</f>
        <v/>
      </c>
      <c r="D954" s="28" t="n"/>
      <c r="E954" s="28" t="n"/>
      <c r="F954" s="28" t="n"/>
    </row>
    <row r="955" ht="15" customHeight="1" s="19">
      <c r="A955" s="35" t="n"/>
      <c r="B955" s="28" t="n"/>
      <c r="C955" s="32">
        <f>IF(B955="","",IFERROR(INDEX(Inventario!$B$5:$B$200,MATCH(B955,Inventario!$A$5:$A$200,0)),"SKU no existe"))</f>
        <v/>
      </c>
      <c r="D955" s="28" t="n"/>
      <c r="E955" s="28" t="n"/>
      <c r="F955" s="28" t="n"/>
    </row>
    <row r="956" ht="15" customHeight="1" s="19">
      <c r="A956" s="35" t="n"/>
      <c r="B956" s="28" t="n"/>
      <c r="C956" s="32">
        <f>IF(B956="","",IFERROR(INDEX(Inventario!$B$5:$B$200,MATCH(B956,Inventario!$A$5:$A$200,0)),"SKU no existe"))</f>
        <v/>
      </c>
      <c r="D956" s="28" t="n"/>
      <c r="E956" s="28" t="n"/>
      <c r="F956" s="28" t="n"/>
    </row>
    <row r="957" ht="15" customHeight="1" s="19">
      <c r="A957" s="35" t="n"/>
      <c r="B957" s="28" t="n"/>
      <c r="C957" s="32">
        <f>IF(B957="","",IFERROR(INDEX(Inventario!$B$5:$B$200,MATCH(B957,Inventario!$A$5:$A$200,0)),"SKU no existe"))</f>
        <v/>
      </c>
      <c r="D957" s="28" t="n"/>
      <c r="E957" s="28" t="n"/>
      <c r="F957" s="28" t="n"/>
    </row>
    <row r="958" ht="15" customHeight="1" s="19">
      <c r="A958" s="35" t="n"/>
      <c r="B958" s="28" t="n"/>
      <c r="C958" s="32">
        <f>IF(B958="","",IFERROR(INDEX(Inventario!$B$5:$B$200,MATCH(B958,Inventario!$A$5:$A$200,0)),"SKU no existe"))</f>
        <v/>
      </c>
      <c r="D958" s="28" t="n"/>
      <c r="E958" s="28" t="n"/>
      <c r="F958" s="28" t="n"/>
    </row>
    <row r="959" ht="15" customHeight="1" s="19">
      <c r="A959" s="35" t="n"/>
      <c r="B959" s="28" t="n"/>
      <c r="C959" s="32">
        <f>IF(B959="","",IFERROR(INDEX(Inventario!$B$5:$B$200,MATCH(B959,Inventario!$A$5:$A$200,0)),"SKU no existe"))</f>
        <v/>
      </c>
      <c r="D959" s="28" t="n"/>
      <c r="E959" s="28" t="n"/>
      <c r="F959" s="28" t="n"/>
    </row>
    <row r="960" ht="15" customHeight="1" s="19">
      <c r="A960" s="35" t="n"/>
      <c r="B960" s="28" t="n"/>
      <c r="C960" s="32">
        <f>IF(B960="","",IFERROR(INDEX(Inventario!$B$5:$B$200,MATCH(B960,Inventario!$A$5:$A$200,0)),"SKU no existe"))</f>
        <v/>
      </c>
      <c r="D960" s="28" t="n"/>
      <c r="E960" s="28" t="n"/>
      <c r="F960" s="28" t="n"/>
    </row>
    <row r="961" ht="15" customHeight="1" s="19">
      <c r="A961" s="35" t="n"/>
      <c r="B961" s="28" t="n"/>
      <c r="C961" s="32">
        <f>IF(B961="","",IFERROR(INDEX(Inventario!$B$5:$B$200,MATCH(B961,Inventario!$A$5:$A$200,0)),"SKU no existe"))</f>
        <v/>
      </c>
      <c r="D961" s="28" t="n"/>
      <c r="E961" s="28" t="n"/>
      <c r="F961" s="28" t="n"/>
    </row>
    <row r="962" ht="15" customHeight="1" s="19">
      <c r="A962" s="35" t="n"/>
      <c r="B962" s="28" t="n"/>
      <c r="C962" s="32">
        <f>IF(B962="","",IFERROR(INDEX(Inventario!$B$5:$B$200,MATCH(B962,Inventario!$A$5:$A$200,0)),"SKU no existe"))</f>
        <v/>
      </c>
      <c r="D962" s="28" t="n"/>
      <c r="E962" s="28" t="n"/>
      <c r="F962" s="28" t="n"/>
    </row>
    <row r="963" ht="15" customHeight="1" s="19">
      <c r="A963" s="35" t="n"/>
      <c r="B963" s="28" t="n"/>
      <c r="C963" s="32">
        <f>IF(B963="","",IFERROR(INDEX(Inventario!$B$5:$B$200,MATCH(B963,Inventario!$A$5:$A$200,0)),"SKU no existe"))</f>
        <v/>
      </c>
      <c r="D963" s="28" t="n"/>
      <c r="E963" s="28" t="n"/>
      <c r="F963" s="28" t="n"/>
    </row>
    <row r="964" ht="15" customHeight="1" s="19">
      <c r="A964" s="35" t="n"/>
      <c r="B964" s="28" t="n"/>
      <c r="C964" s="32">
        <f>IF(B964="","",IFERROR(INDEX(Inventario!$B$5:$B$200,MATCH(B964,Inventario!$A$5:$A$200,0)),"SKU no existe"))</f>
        <v/>
      </c>
      <c r="D964" s="28" t="n"/>
      <c r="E964" s="28" t="n"/>
      <c r="F964" s="28" t="n"/>
    </row>
    <row r="965" ht="15" customHeight="1" s="19">
      <c r="A965" s="35" t="n"/>
      <c r="B965" s="28" t="n"/>
      <c r="C965" s="32">
        <f>IF(B965="","",IFERROR(INDEX(Inventario!$B$5:$B$200,MATCH(B965,Inventario!$A$5:$A$200,0)),"SKU no existe"))</f>
        <v/>
      </c>
      <c r="D965" s="28" t="n"/>
      <c r="E965" s="28" t="n"/>
      <c r="F965" s="28" t="n"/>
    </row>
    <row r="966" ht="15" customHeight="1" s="19">
      <c r="A966" s="35" t="n"/>
      <c r="B966" s="28" t="n"/>
      <c r="C966" s="32">
        <f>IF(B966="","",IFERROR(INDEX(Inventario!$B$5:$B$200,MATCH(B966,Inventario!$A$5:$A$200,0)),"SKU no existe"))</f>
        <v/>
      </c>
      <c r="D966" s="28" t="n"/>
      <c r="E966" s="28" t="n"/>
      <c r="F966" s="28" t="n"/>
    </row>
    <row r="967" ht="15" customHeight="1" s="19">
      <c r="A967" s="35" t="n"/>
      <c r="B967" s="28" t="n"/>
      <c r="C967" s="32">
        <f>IF(B967="","",IFERROR(INDEX(Inventario!$B$5:$B$200,MATCH(B967,Inventario!$A$5:$A$200,0)),"SKU no existe"))</f>
        <v/>
      </c>
      <c r="D967" s="28" t="n"/>
      <c r="E967" s="28" t="n"/>
      <c r="F967" s="28" t="n"/>
    </row>
    <row r="968" ht="15" customHeight="1" s="19">
      <c r="A968" s="35" t="n"/>
      <c r="B968" s="28" t="n"/>
      <c r="C968" s="32">
        <f>IF(B968="","",IFERROR(INDEX(Inventario!$B$5:$B$200,MATCH(B968,Inventario!$A$5:$A$200,0)),"SKU no existe"))</f>
        <v/>
      </c>
      <c r="D968" s="28" t="n"/>
      <c r="E968" s="28" t="n"/>
      <c r="F968" s="28" t="n"/>
    </row>
    <row r="969" ht="15" customHeight="1" s="19">
      <c r="A969" s="35" t="n"/>
      <c r="B969" s="28" t="n"/>
      <c r="C969" s="32">
        <f>IF(B969="","",IFERROR(INDEX(Inventario!$B$5:$B$200,MATCH(B969,Inventario!$A$5:$A$200,0)),"SKU no existe"))</f>
        <v/>
      </c>
      <c r="D969" s="28" t="n"/>
      <c r="E969" s="28" t="n"/>
      <c r="F969" s="28" t="n"/>
    </row>
    <row r="970" ht="15" customHeight="1" s="19">
      <c r="A970" s="35" t="n"/>
      <c r="B970" s="28" t="n"/>
      <c r="C970" s="32">
        <f>IF(B970="","",IFERROR(INDEX(Inventario!$B$5:$B$200,MATCH(B970,Inventario!$A$5:$A$200,0)),"SKU no existe"))</f>
        <v/>
      </c>
      <c r="D970" s="28" t="n"/>
      <c r="E970" s="28" t="n"/>
      <c r="F970" s="28" t="n"/>
    </row>
    <row r="971" ht="15" customHeight="1" s="19">
      <c r="A971" s="35" t="n"/>
      <c r="B971" s="28" t="n"/>
      <c r="C971" s="32">
        <f>IF(B971="","",IFERROR(INDEX(Inventario!$B$5:$B$200,MATCH(B971,Inventario!$A$5:$A$200,0)),"SKU no existe"))</f>
        <v/>
      </c>
      <c r="D971" s="28" t="n"/>
      <c r="E971" s="28" t="n"/>
      <c r="F971" s="28" t="n"/>
    </row>
    <row r="972" ht="15" customHeight="1" s="19">
      <c r="A972" s="35" t="n"/>
      <c r="B972" s="28" t="n"/>
      <c r="C972" s="32">
        <f>IF(B972="","",IFERROR(INDEX(Inventario!$B$5:$B$200,MATCH(B972,Inventario!$A$5:$A$200,0)),"SKU no existe"))</f>
        <v/>
      </c>
      <c r="D972" s="28" t="n"/>
      <c r="E972" s="28" t="n"/>
      <c r="F972" s="28" t="n"/>
    </row>
    <row r="973" ht="15" customHeight="1" s="19">
      <c r="A973" s="35" t="n"/>
      <c r="B973" s="28" t="n"/>
      <c r="C973" s="32">
        <f>IF(B973="","",IFERROR(INDEX(Inventario!$B$5:$B$200,MATCH(B973,Inventario!$A$5:$A$200,0)),"SKU no existe"))</f>
        <v/>
      </c>
      <c r="D973" s="28" t="n"/>
      <c r="E973" s="28" t="n"/>
      <c r="F973" s="28" t="n"/>
    </row>
    <row r="974" ht="15" customHeight="1" s="19">
      <c r="A974" s="35" t="n"/>
      <c r="B974" s="28" t="n"/>
      <c r="C974" s="32">
        <f>IF(B974="","",IFERROR(INDEX(Inventario!$B$5:$B$200,MATCH(B974,Inventario!$A$5:$A$200,0)),"SKU no existe"))</f>
        <v/>
      </c>
      <c r="D974" s="28" t="n"/>
      <c r="E974" s="28" t="n"/>
      <c r="F974" s="28" t="n"/>
    </row>
    <row r="975" ht="15" customHeight="1" s="19">
      <c r="A975" s="35" t="n"/>
      <c r="B975" s="28" t="n"/>
      <c r="C975" s="32">
        <f>IF(B975="","",IFERROR(INDEX(Inventario!$B$5:$B$200,MATCH(B975,Inventario!$A$5:$A$200,0)),"SKU no existe"))</f>
        <v/>
      </c>
      <c r="D975" s="28" t="n"/>
      <c r="E975" s="28" t="n"/>
      <c r="F975" s="28" t="n"/>
    </row>
    <row r="976" ht="15" customHeight="1" s="19">
      <c r="A976" s="35" t="n"/>
      <c r="B976" s="28" t="n"/>
      <c r="C976" s="32">
        <f>IF(B976="","",IFERROR(INDEX(Inventario!$B$5:$B$200,MATCH(B976,Inventario!$A$5:$A$200,0)),"SKU no existe"))</f>
        <v/>
      </c>
      <c r="D976" s="28" t="n"/>
      <c r="E976" s="28" t="n"/>
      <c r="F976" s="28" t="n"/>
    </row>
    <row r="977" ht="15" customHeight="1" s="19">
      <c r="A977" s="35" t="n"/>
      <c r="B977" s="28" t="n"/>
      <c r="C977" s="32">
        <f>IF(B977="","",IFERROR(INDEX(Inventario!$B$5:$B$200,MATCH(B977,Inventario!$A$5:$A$200,0)),"SKU no existe"))</f>
        <v/>
      </c>
      <c r="D977" s="28" t="n"/>
      <c r="E977" s="28" t="n"/>
      <c r="F977" s="28" t="n"/>
    </row>
    <row r="978" ht="15" customHeight="1" s="19">
      <c r="A978" s="35" t="n"/>
      <c r="B978" s="28" t="n"/>
      <c r="C978" s="32">
        <f>IF(B978="","",IFERROR(INDEX(Inventario!$B$5:$B$200,MATCH(B978,Inventario!$A$5:$A$200,0)),"SKU no existe"))</f>
        <v/>
      </c>
      <c r="D978" s="28" t="n"/>
      <c r="E978" s="28" t="n"/>
      <c r="F978" s="28" t="n"/>
    </row>
    <row r="979" ht="15" customHeight="1" s="19">
      <c r="A979" s="35" t="n"/>
      <c r="B979" s="28" t="n"/>
      <c r="C979" s="32">
        <f>IF(B979="","",IFERROR(INDEX(Inventario!$B$5:$B$200,MATCH(B979,Inventario!$A$5:$A$200,0)),"SKU no existe"))</f>
        <v/>
      </c>
      <c r="D979" s="28" t="n"/>
      <c r="E979" s="28" t="n"/>
      <c r="F979" s="28" t="n"/>
    </row>
    <row r="980" ht="15" customHeight="1" s="19">
      <c r="A980" s="35" t="n"/>
      <c r="B980" s="28" t="n"/>
      <c r="C980" s="32">
        <f>IF(B980="","",IFERROR(INDEX(Inventario!$B$5:$B$200,MATCH(B980,Inventario!$A$5:$A$200,0)),"SKU no existe"))</f>
        <v/>
      </c>
      <c r="D980" s="28" t="n"/>
      <c r="E980" s="28" t="n"/>
      <c r="F980" s="28" t="n"/>
    </row>
    <row r="981" ht="15" customHeight="1" s="19">
      <c r="A981" s="35" t="n"/>
      <c r="B981" s="28" t="n"/>
      <c r="C981" s="32">
        <f>IF(B981="","",IFERROR(INDEX(Inventario!$B$5:$B$200,MATCH(B981,Inventario!$A$5:$A$200,0)),"SKU no existe"))</f>
        <v/>
      </c>
      <c r="D981" s="28" t="n"/>
      <c r="E981" s="28" t="n"/>
      <c r="F981" s="28" t="n"/>
    </row>
    <row r="982" ht="15" customHeight="1" s="19">
      <c r="A982" s="35" t="n"/>
      <c r="B982" s="28" t="n"/>
      <c r="C982" s="32">
        <f>IF(B982="","",IFERROR(INDEX(Inventario!$B$5:$B$200,MATCH(B982,Inventario!$A$5:$A$200,0)),"SKU no existe"))</f>
        <v/>
      </c>
      <c r="D982" s="28" t="n"/>
      <c r="E982" s="28" t="n"/>
      <c r="F982" s="28" t="n"/>
    </row>
    <row r="983" ht="15" customHeight="1" s="19">
      <c r="A983" s="35" t="n"/>
      <c r="B983" s="28" t="n"/>
      <c r="C983" s="32">
        <f>IF(B983="","",IFERROR(INDEX(Inventario!$B$5:$B$200,MATCH(B983,Inventario!$A$5:$A$200,0)),"SKU no existe"))</f>
        <v/>
      </c>
      <c r="D983" s="28" t="n"/>
      <c r="E983" s="28" t="n"/>
      <c r="F983" s="28" t="n"/>
    </row>
    <row r="984" ht="15" customHeight="1" s="19">
      <c r="A984" s="35" t="n"/>
      <c r="B984" s="28" t="n"/>
      <c r="C984" s="32">
        <f>IF(B984="","",IFERROR(INDEX(Inventario!$B$5:$B$200,MATCH(B984,Inventario!$A$5:$A$200,0)),"SKU no existe"))</f>
        <v/>
      </c>
      <c r="D984" s="28" t="n"/>
      <c r="E984" s="28" t="n"/>
      <c r="F984" s="28" t="n"/>
    </row>
    <row r="985" ht="15" customHeight="1" s="19">
      <c r="A985" s="35" t="n"/>
      <c r="B985" s="28" t="n"/>
      <c r="C985" s="32">
        <f>IF(B985="","",IFERROR(INDEX(Inventario!$B$5:$B$200,MATCH(B985,Inventario!$A$5:$A$200,0)),"SKU no existe"))</f>
        <v/>
      </c>
      <c r="D985" s="28" t="n"/>
      <c r="E985" s="28" t="n"/>
      <c r="F985" s="28" t="n"/>
    </row>
    <row r="986" ht="15" customHeight="1" s="19">
      <c r="A986" s="35" t="n"/>
      <c r="B986" s="28" t="n"/>
      <c r="C986" s="32">
        <f>IF(B986="","",IFERROR(INDEX(Inventario!$B$5:$B$200,MATCH(B986,Inventario!$A$5:$A$200,0)),"SKU no existe"))</f>
        <v/>
      </c>
      <c r="D986" s="28" t="n"/>
      <c r="E986" s="28" t="n"/>
      <c r="F986" s="28" t="n"/>
    </row>
    <row r="987" ht="15" customHeight="1" s="19">
      <c r="A987" s="35" t="n"/>
      <c r="B987" s="28" t="n"/>
      <c r="C987" s="32">
        <f>IF(B987="","",IFERROR(INDEX(Inventario!$B$5:$B$200,MATCH(B987,Inventario!$A$5:$A$200,0)),"SKU no existe"))</f>
        <v/>
      </c>
      <c r="D987" s="28" t="n"/>
      <c r="E987" s="28" t="n"/>
      <c r="F987" s="28" t="n"/>
    </row>
    <row r="988" ht="15" customHeight="1" s="19">
      <c r="A988" s="35" t="n"/>
      <c r="B988" s="28" t="n"/>
      <c r="C988" s="32">
        <f>IF(B988="","",IFERROR(INDEX(Inventario!$B$5:$B$200,MATCH(B988,Inventario!$A$5:$A$200,0)),"SKU no existe"))</f>
        <v/>
      </c>
      <c r="D988" s="28" t="n"/>
      <c r="E988" s="28" t="n"/>
      <c r="F988" s="28" t="n"/>
    </row>
    <row r="989" ht="15" customHeight="1" s="19">
      <c r="A989" s="35" t="n"/>
      <c r="B989" s="28" t="n"/>
      <c r="C989" s="32">
        <f>IF(B989="","",IFERROR(INDEX(Inventario!$B$5:$B$200,MATCH(B989,Inventario!$A$5:$A$200,0)),"SKU no existe"))</f>
        <v/>
      </c>
      <c r="D989" s="28" t="n"/>
      <c r="E989" s="28" t="n"/>
      <c r="F989" s="28" t="n"/>
    </row>
    <row r="990" ht="15" customHeight="1" s="19">
      <c r="A990" s="35" t="n"/>
      <c r="B990" s="28" t="n"/>
      <c r="C990" s="32">
        <f>IF(B990="","",IFERROR(INDEX(Inventario!$B$5:$B$200,MATCH(B990,Inventario!$A$5:$A$200,0)),"SKU no existe"))</f>
        <v/>
      </c>
      <c r="D990" s="28" t="n"/>
      <c r="E990" s="28" t="n"/>
      <c r="F990" s="28" t="n"/>
    </row>
    <row r="991" ht="15" customHeight="1" s="19">
      <c r="A991" s="35" t="n"/>
      <c r="B991" s="28" t="n"/>
      <c r="C991" s="32">
        <f>IF(B991="","",IFERROR(INDEX(Inventario!$B$5:$B$200,MATCH(B991,Inventario!$A$5:$A$200,0)),"SKU no existe"))</f>
        <v/>
      </c>
      <c r="D991" s="28" t="n"/>
      <c r="E991" s="28" t="n"/>
      <c r="F991" s="28" t="n"/>
    </row>
    <row r="992" ht="15" customHeight="1" s="19">
      <c r="A992" s="35" t="n"/>
      <c r="B992" s="28" t="n"/>
      <c r="C992" s="32">
        <f>IF(B992="","",IFERROR(INDEX(Inventario!$B$5:$B$200,MATCH(B992,Inventario!$A$5:$A$200,0)),"SKU no existe"))</f>
        <v/>
      </c>
      <c r="D992" s="28" t="n"/>
      <c r="E992" s="28" t="n"/>
      <c r="F992" s="28" t="n"/>
    </row>
    <row r="993" ht="15" customHeight="1" s="19">
      <c r="A993" s="35" t="n"/>
      <c r="B993" s="28" t="n"/>
      <c r="C993" s="32">
        <f>IF(B993="","",IFERROR(INDEX(Inventario!$B$5:$B$200,MATCH(B993,Inventario!$A$5:$A$200,0)),"SKU no existe"))</f>
        <v/>
      </c>
      <c r="D993" s="28" t="n"/>
      <c r="E993" s="28" t="n"/>
      <c r="F993" s="28" t="n"/>
    </row>
    <row r="994" ht="15" customHeight="1" s="19">
      <c r="A994" s="35" t="n"/>
      <c r="B994" s="28" t="n"/>
      <c r="C994" s="32">
        <f>IF(B994="","",IFERROR(INDEX(Inventario!$B$5:$B$200,MATCH(B994,Inventario!$A$5:$A$200,0)),"SKU no existe"))</f>
        <v/>
      </c>
      <c r="D994" s="28" t="n"/>
      <c r="E994" s="28" t="n"/>
      <c r="F994" s="28" t="n"/>
    </row>
    <row r="995" ht="15" customHeight="1" s="19">
      <c r="A995" s="35" t="n"/>
      <c r="B995" s="28" t="n"/>
      <c r="C995" s="32">
        <f>IF(B995="","",IFERROR(INDEX(Inventario!$B$5:$B$200,MATCH(B995,Inventario!$A$5:$A$200,0)),"SKU no existe"))</f>
        <v/>
      </c>
      <c r="D995" s="28" t="n"/>
      <c r="E995" s="28" t="n"/>
      <c r="F995" s="28" t="n"/>
    </row>
    <row r="996" ht="15" customHeight="1" s="19">
      <c r="A996" s="35" t="n"/>
      <c r="B996" s="28" t="n"/>
      <c r="C996" s="32">
        <f>IF(B996="","",IFERROR(INDEX(Inventario!$B$5:$B$200,MATCH(B996,Inventario!$A$5:$A$200,0)),"SKU no existe"))</f>
        <v/>
      </c>
      <c r="D996" s="28" t="n"/>
      <c r="E996" s="28" t="n"/>
      <c r="F996" s="28" t="n"/>
    </row>
    <row r="997" ht="15" customHeight="1" s="19">
      <c r="A997" s="35" t="n"/>
      <c r="B997" s="28" t="n"/>
      <c r="C997" s="32">
        <f>IF(B997="","",IFERROR(INDEX(Inventario!$B$5:$B$200,MATCH(B997,Inventario!$A$5:$A$200,0)),"SKU no existe"))</f>
        <v/>
      </c>
      <c r="D997" s="28" t="n"/>
      <c r="E997" s="28" t="n"/>
      <c r="F997" s="28" t="n"/>
    </row>
    <row r="998" ht="15" customHeight="1" s="19">
      <c r="A998" s="35" t="n"/>
      <c r="B998" s="28" t="n"/>
      <c r="C998" s="32">
        <f>IF(B998="","",IFERROR(INDEX(Inventario!$B$5:$B$200,MATCH(B998,Inventario!$A$5:$A$200,0)),"SKU no existe"))</f>
        <v/>
      </c>
      <c r="D998" s="28" t="n"/>
      <c r="E998" s="28" t="n"/>
      <c r="F998" s="28" t="n"/>
    </row>
    <row r="999" ht="15" customHeight="1" s="19">
      <c r="A999" s="35" t="n"/>
      <c r="B999" s="28" t="n"/>
      <c r="C999" s="32">
        <f>IF(B999="","",IFERROR(INDEX(Inventario!$B$5:$B$200,MATCH(B999,Inventario!$A$5:$A$200,0)),"SKU no existe"))</f>
        <v/>
      </c>
      <c r="D999" s="28" t="n"/>
      <c r="E999" s="28" t="n"/>
      <c r="F999" s="28" t="n"/>
    </row>
    <row r="1000" ht="15" customHeight="1" s="19">
      <c r="A1000" s="35" t="n"/>
      <c r="B1000" s="28" t="n"/>
      <c r="C1000" s="32">
        <f>IF(B1000="","",IFERROR(INDEX(Inventario!$B$5:$B$200,MATCH(B1000,Inventario!$A$5:$A$200,0)),"SKU no existe"))</f>
        <v/>
      </c>
      <c r="D1000" s="28" t="n"/>
      <c r="E1000" s="28" t="n"/>
      <c r="F1000" s="28" t="n"/>
    </row>
  </sheetData>
  <dataValidations count="1">
    <dataValidation sqref="E5:E1000" showDropDown="0" showInputMessage="0" showErrorMessage="0" allowBlank="1" type="list" errorStyle="stop" operator="between">
      <formula1>"Entrada,Merma,Ajuste"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2026-10-14T15:31:45Z</dcterms:created>
  <dcterms:modified xmlns:dcterms="http://purl.org/dc/terms/" xmlns:xsi="http://www.w3.org/2001/XMLSchema-instance" xsi:type="dcterms:W3CDTF">2026-10-15T04:47:44Z</dcterms:modified>
  <cp:revision>0</cp:revision>
</cp:coreProperties>
</file>